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uisrigoitia/Downloads/"/>
    </mc:Choice>
  </mc:AlternateContent>
  <xr:revisionPtr revIDLastSave="0" documentId="8_{C4E26486-34E9-654A-9709-8E0456AC8399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Costo de capital" sheetId="1" r:id="rId1"/>
    <sheet name="Múltiplos (preliminar)" sheetId="2" r:id="rId2"/>
    <sheet name="Flujo de caja libre (DCF)" sheetId="3" r:id="rId3"/>
    <sheet name="Precio en 3 momentos" sheetId="4" r:id="rId4"/>
    <sheet name="Sinergi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5" l="1"/>
  <c r="F12" i="5" s="1"/>
  <c r="F13" i="5" s="1"/>
  <c r="F14" i="5" s="1"/>
  <c r="C7" i="4"/>
  <c r="D4" i="4"/>
  <c r="B34" i="3"/>
  <c r="G23" i="3"/>
  <c r="F23" i="3"/>
  <c r="E23" i="3"/>
  <c r="D23" i="3"/>
  <c r="C23" i="3"/>
  <c r="C19" i="3"/>
  <c r="B7" i="3"/>
  <c r="B4" i="3"/>
  <c r="B16" i="3" s="1"/>
  <c r="B8" i="2"/>
  <c r="B6" i="2"/>
  <c r="B13" i="1"/>
  <c r="B14" i="1" s="1"/>
  <c r="B8" i="3" s="1"/>
  <c r="B11" i="1"/>
  <c r="B8" i="1"/>
  <c r="G30" i="3" l="1"/>
  <c r="F30" i="3"/>
  <c r="E30" i="3"/>
  <c r="D30" i="3"/>
  <c r="C30" i="3"/>
  <c r="C16" i="3"/>
  <c r="B25" i="3"/>
  <c r="D13" i="4" s="1"/>
  <c r="D14" i="4" s="1"/>
  <c r="B12" i="5"/>
  <c r="B13" i="5" s="1"/>
  <c r="B14" i="5" s="1"/>
  <c r="C12" i="5"/>
  <c r="C13" i="5" s="1"/>
  <c r="C14" i="5" s="1"/>
  <c r="D12" i="5"/>
  <c r="D13" i="5" s="1"/>
  <c r="D14" i="5" s="1"/>
  <c r="E12" i="5"/>
  <c r="E13" i="5" s="1"/>
  <c r="E14" i="5" s="1"/>
  <c r="C17" i="3" l="1"/>
  <c r="C20" i="3" s="1"/>
  <c r="D16" i="3"/>
  <c r="C25" i="3"/>
  <c r="C26" i="3" s="1"/>
  <c r="B16" i="5"/>
  <c r="C20" i="5" l="1"/>
  <c r="B20" i="5"/>
  <c r="D17" i="3"/>
  <c r="D20" i="3" s="1"/>
  <c r="E16" i="3"/>
  <c r="D25" i="3"/>
  <c r="D26" i="3" s="1"/>
  <c r="C21" i="3"/>
  <c r="C22" i="3" s="1"/>
  <c r="C27" i="3" s="1"/>
  <c r="C31" i="3" s="1"/>
  <c r="E17" i="3" l="1"/>
  <c r="E20" i="3" s="1"/>
  <c r="F16" i="3"/>
  <c r="E25" i="3"/>
  <c r="E26" i="3" s="1"/>
  <c r="D21" i="3"/>
  <c r="D22" i="3" s="1"/>
  <c r="D27" i="3" s="1"/>
  <c r="D31" i="3" s="1"/>
  <c r="F17" i="3" l="1"/>
  <c r="F20" i="3" s="1"/>
  <c r="G16" i="3"/>
  <c r="F25" i="3"/>
  <c r="F26" i="3" s="1"/>
  <c r="E22" i="3"/>
  <c r="E27" i="3" s="1"/>
  <c r="E31" i="3" s="1"/>
  <c r="E21" i="3"/>
  <c r="G25" i="3" l="1"/>
  <c r="G26" i="3" s="1"/>
  <c r="G17" i="3"/>
  <c r="G20" i="3" s="1"/>
  <c r="F21" i="3"/>
  <c r="F22" i="3" s="1"/>
  <c r="F27" i="3" s="1"/>
  <c r="F31" i="3" s="1"/>
  <c r="G21" i="3" l="1"/>
  <c r="G22" i="3" s="1"/>
  <c r="G27" i="3" s="1"/>
  <c r="G29" i="3" l="1"/>
  <c r="G31" i="3"/>
  <c r="B33" i="3" s="1"/>
  <c r="C5" i="4" l="1"/>
  <c r="B36" i="3"/>
  <c r="B35" i="3"/>
  <c r="D6" i="4"/>
  <c r="D8" i="4" s="1"/>
  <c r="B21" i="5" l="1"/>
  <c r="D10" i="4"/>
  <c r="C19" i="5"/>
  <c r="B19" i="5"/>
  <c r="B22" i="5" s="1"/>
  <c r="C21" i="5" l="1"/>
  <c r="C22" i="5" s="1"/>
  <c r="D12" i="4"/>
  <c r="E12" i="4" s="1"/>
</calcChain>
</file>

<file path=xl/sharedStrings.xml><?xml version="1.0" encoding="utf-8"?>
<sst xmlns="http://schemas.openxmlformats.org/spreadsheetml/2006/main" count="145" uniqueCount="124">
  <si>
    <t>Costo de capital de SweetKids México: CAPM y costo promedio ponderado (WACC)</t>
  </si>
  <si>
    <t>Componente</t>
  </si>
  <si>
    <t>Valor</t>
  </si>
  <si>
    <t>Comentario</t>
  </si>
  <si>
    <t>Tasa libre de riesgo (bono del Tesoro de EE. UU. a 10 años)</t>
  </si>
  <si>
    <t>Supuesto en dólares</t>
  </si>
  <si>
    <t>Prima de riesgo país México</t>
  </si>
  <si>
    <t>Supuesto</t>
  </si>
  <si>
    <t>Beta del sector alimentos</t>
  </si>
  <si>
    <t>Supuesto: sector de consumo básico</t>
  </si>
  <si>
    <t>Prima de riesgo de mercado</t>
  </si>
  <si>
    <t>Costo del capital propio (Ke) = rf + riesgo país + beta × prima</t>
  </si>
  <si>
    <t>Modelo CAPM</t>
  </si>
  <si>
    <t>Costo de la deuda bancaria antes de impuestos (Kd)</t>
  </si>
  <si>
    <t>Supuesto: crédito de la expansión de 2022</t>
  </si>
  <si>
    <t>Tasa de ISR en México</t>
  </si>
  <si>
    <t>Tasa corporativa</t>
  </si>
  <si>
    <t>Costo de la deuda después de impuestos</t>
  </si>
  <si>
    <t>Kd × (1 − ISR)</t>
  </si>
  <si>
    <t>Peso de la deuda (D / V)</t>
  </si>
  <si>
    <t>Deuda de USD 15 M sobre un valor cercano a USD 60 M</t>
  </si>
  <si>
    <t>Peso del capital (E / V)</t>
  </si>
  <si>
    <t>Costo de capital promedio ponderado (WACC)</t>
  </si>
  <si>
    <t>Tasa de descuento del flujo de caja libre</t>
  </si>
  <si>
    <t>Cifras en azul = supuestos; en negro = fórmulas. Escenario hipotético con fines académicos.</t>
  </si>
  <si>
    <t>Momento 1. Estimación preliminar antes de la auditoría (millones de USD)</t>
  </si>
  <si>
    <t>Concepto</t>
  </si>
  <si>
    <t>Ventas 2025</t>
  </si>
  <si>
    <t>Supuesto: el caso no informa las ventas</t>
  </si>
  <si>
    <t>EBITDA 2025</t>
  </si>
  <si>
    <t>Supuesto: margen de 15%, calibrado para llegar a los USD 60 M del caso</t>
  </si>
  <si>
    <t>Margen EBITDA</t>
  </si>
  <si>
    <t>Múltiplo VE / EBITDA de empresas comparables</t>
  </si>
  <si>
    <t>Golosinas y snacks saludables</t>
  </si>
  <si>
    <t>Valor estimado de SweetKids (antes de auditoría)</t>
  </si>
  <si>
    <t>Supone una empresa sin deuda</t>
  </si>
  <si>
    <t>Coincide con la estimación del caso: USD 60 millones.</t>
  </si>
  <si>
    <t>Momento 2. Valoración formal posterior a la due diligence: flujo de caja libre descontado (millones de USD)</t>
  </si>
  <si>
    <t>Base</t>
  </si>
  <si>
    <t>Margen EBITDA normalizado</t>
  </si>
  <si>
    <t>15% reportado − 1 punto por costos laborales sindicales</t>
  </si>
  <si>
    <t>Capital de trabajo neto / ventas</t>
  </si>
  <si>
    <t>Tasa de ISR</t>
  </si>
  <si>
    <t>Costo de capital (WACC)</t>
  </si>
  <si>
    <t>Hoja Costo de capital</t>
  </si>
  <si>
    <t>Crecimiento a perpetuidad</t>
  </si>
  <si>
    <t>Menor al 15% del mercado: crecimiento maduro</t>
  </si>
  <si>
    <t>Deuda bancaria detectada en la due diligence</t>
  </si>
  <si>
    <t>Dato del caso</t>
  </si>
  <si>
    <t>Pago único por contingencias laborales (2026)</t>
  </si>
  <si>
    <t>Revisión de contratos sindicales</t>
  </si>
  <si>
    <t>2025 (base)</t>
  </si>
  <si>
    <t>2026</t>
  </si>
  <si>
    <t>2027</t>
  </si>
  <si>
    <t>2028</t>
  </si>
  <si>
    <t>2029</t>
  </si>
  <si>
    <t>2030</t>
  </si>
  <si>
    <t>Crecimiento de ventas</t>
  </si>
  <si>
    <t>Ventas</t>
  </si>
  <si>
    <t>EBITDA normalizado</t>
  </si>
  <si>
    <t>(−) Depreciación y amortización</t>
  </si>
  <si>
    <t>(−) Contingencias laborales</t>
  </si>
  <si>
    <t>(=) EBIT</t>
  </si>
  <si>
    <t>(−) ISR</t>
  </si>
  <si>
    <t>(=) NOPAT</t>
  </si>
  <si>
    <t>(+) Depreciación y amortización</t>
  </si>
  <si>
    <t>(−) Inversión en activos (capex)</t>
  </si>
  <si>
    <t>Capital de trabajo neto (saldo)</t>
  </si>
  <si>
    <t>(−) Incremento en capital de trabajo</t>
  </si>
  <si>
    <t>(=) Flujo de caja libre</t>
  </si>
  <si>
    <t>Valor terminal en 2030 = FCL 2031 / (WACC − g)</t>
  </si>
  <si>
    <t>Factor de descuento</t>
  </si>
  <si>
    <t>Valor presente del flujo (y del valor terminal)</t>
  </si>
  <si>
    <t>(−) Deuda bancaria</t>
  </si>
  <si>
    <t>(=) Valor del capital = precio ajustado</t>
  </si>
  <si>
    <t>Cifras en azul = supuestos; en negro = fórmulas. Paréntesis = cifras negativas.</t>
  </si>
  <si>
    <t>Momento</t>
  </si>
  <si>
    <t>Ajuste</t>
  </si>
  <si>
    <t>Precio</t>
  </si>
  <si>
    <t>Método o mecanismo</t>
  </si>
  <si>
    <t>1. Antes de la auditoría</t>
  </si>
  <si>
    <t>Valor preliminar</t>
  </si>
  <si>
    <t>Múltiplos: 7.5 × 8.0x</t>
  </si>
  <si>
    <t>2. Después de la due diligence</t>
  </si>
  <si>
    <t>Diferencia entre DCF y múltiplos</t>
  </si>
  <si>
    <t>Flujo de caja libre con margen normalizado</t>
  </si>
  <si>
    <t>Valor de la empresa por DCF</t>
  </si>
  <si>
    <t>WACC por CAPM</t>
  </si>
  <si>
    <t>Dato de la due diligence</t>
  </si>
  <si>
    <t>Precio ajustado</t>
  </si>
  <si>
    <t>Coincide con el caso: USD 48 M</t>
  </si>
  <si>
    <t>3. Al cierre</t>
  </si>
  <si>
    <t>(−) Cláusula: caída del capital de trabajo neto &gt; 5% en 6 meses</t>
  </si>
  <si>
    <t>Ajuste contractual (dato del caso)</t>
  </si>
  <si>
    <t>Precio mínimo si se activa la cláusula</t>
  </si>
  <si>
    <t>Reducción total frente al valor preliminar</t>
  </si>
  <si>
    <t>Capital de trabajo neto 2025</t>
  </si>
  <si>
    <t>Caída de 5% que activa la cláusula</t>
  </si>
  <si>
    <t>La cláusula descuenta USD 3 M aunque la caída mínima que la activa sea de unos USD 0.3 M: es una protección fuerte para el comprador.</t>
  </si>
  <si>
    <t>Sinergias estimadas para NutriTreats y valor creado con cada precio (millones de USD)</t>
  </si>
  <si>
    <t>Ahorro en compras de insumos (año completo)</t>
  </si>
  <si>
    <t>≈3.6% del costo de ventas de SweetKids (55% de USD 50 M)</t>
  </si>
  <si>
    <t>Ventas adicionales de NutriTreats en canales de SweetKids (año 3)</t>
  </si>
  <si>
    <t>Barras y galletas en escuelas y tiendas de conveniencia</t>
  </si>
  <si>
    <t>Margen EBITDA sobre esas ventas</t>
  </si>
  <si>
    <t>Inversión en planta que NutriTreats evita</t>
  </si>
  <si>
    <t>Supuesto: costo de construir capacidad propia en México</t>
  </si>
  <si>
    <t>Grado de captura</t>
  </si>
  <si>
    <t>Sinergias antes de impuestos</t>
  </si>
  <si>
    <t>Sinergias después de impuestos</t>
  </si>
  <si>
    <t>Valor presente</t>
  </si>
  <si>
    <t>Valor presente de las sinergias</t>
  </si>
  <si>
    <t>Valor creado para NutriTreats</t>
  </si>
  <si>
    <t>Pagando USD 48 M</t>
  </si>
  <si>
    <t>Pagando USD 45 M</t>
  </si>
  <si>
    <t>Valor del capital de SweetKids (DCF)</t>
  </si>
  <si>
    <t>(+) Valor presente de las sinergias</t>
  </si>
  <si>
    <t>(−) Precio pagado</t>
  </si>
  <si>
    <t>(=) Valor presente neto para NutriTreats</t>
  </si>
  <si>
    <t>Cifras en azul = supuestos; en negro = fórmulas. La inversión evitada en planta no se suma al VPN; se usa como argumento estratégico.</t>
  </si>
  <si>
    <t xml:space="preserve"> </t>
  </si>
  <si>
    <t>Valor de la empresa (EV)</t>
  </si>
  <si>
    <t>EV / EBITDA normalizado 2025</t>
  </si>
  <si>
    <t>Ajustes al precio de la transacción en los tres momentos clave (millones de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</si>
</sst>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;\(#,##0.0\)"/>
    <numFmt numFmtId="166" formatCode="0.0\x"/>
    <numFmt numFmtId="167" formatCode="0.000"/>
  </numFmts>
  <fonts count="7" x14ac:knownFonts="1">
    <font>
      <sz val="11"/>
      <color theme="1"/>
      <name val="Calibri"/>
      <family val="2"/>
      <charset val="1"/>
    </font>
    <font>
      <b/>
      <sz val="12"/>
      <color rgb="FF1F4E79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sz val="10"/>
      <color rgb="FF0000FF"/>
      <name val="Arial"/>
      <family val="2"/>
    </font>
    <font>
      <b/>
      <sz val="10"/>
      <color rgb="FF1F2937"/>
      <name val="Arial"/>
      <family val="2"/>
    </font>
    <font>
      <i/>
      <sz val="9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5F9"/>
        <bgColor rgb="FFFFFFFF"/>
      </patternFill>
    </fill>
  </fills>
  <borders count="4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  <border>
      <left style="thin">
        <color rgb="FFBFC7D1"/>
      </left>
      <right style="thin">
        <color rgb="FFBFC7D1"/>
      </right>
      <top style="thin">
        <color rgb="FF1F2937"/>
      </top>
      <bottom style="thin">
        <color rgb="FFBFC7D1"/>
      </bottom>
      <diagonal/>
    </border>
    <border>
      <left style="thin">
        <color rgb="FFBFC7D1"/>
      </left>
      <right style="thin">
        <color rgb="FFBFC7D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6" fillId="0" borderId="0" xfId="0" applyFont="1"/>
    <xf numFmtId="165" fontId="4" fillId="0" borderId="1" xfId="0" applyNumberFormat="1" applyFont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166" fontId="4" fillId="3" borderId="1" xfId="0" applyNumberFormat="1" applyFont="1" applyFill="1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165" fontId="5" fillId="3" borderId="2" xfId="0" applyNumberFormat="1" applyFont="1" applyFill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right" vertical="center"/>
    </xf>
    <xf numFmtId="165" fontId="5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1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6"/>
  <sheetViews>
    <sheetView tabSelected="1" zoomScaleNormal="100" workbookViewId="0">
      <selection activeCell="B14" sqref="B14"/>
    </sheetView>
  </sheetViews>
  <sheetFormatPr baseColWidth="10" defaultColWidth="8.6640625" defaultRowHeight="15" x14ac:dyDescent="0.2"/>
  <cols>
    <col min="1" max="1" width="62" customWidth="1"/>
    <col min="2" max="2" width="12" customWidth="1"/>
    <col min="3" max="3" width="48" customWidth="1"/>
  </cols>
  <sheetData>
    <row r="1" spans="1:3" ht="16" x14ac:dyDescent="0.2">
      <c r="A1" s="1" t="s">
        <v>0</v>
      </c>
    </row>
    <row r="3" spans="1:3" x14ac:dyDescent="0.2">
      <c r="A3" s="2" t="s">
        <v>1</v>
      </c>
      <c r="B3" s="3" t="s">
        <v>2</v>
      </c>
      <c r="C3" s="2" t="s">
        <v>3</v>
      </c>
    </row>
    <row r="4" spans="1:3" x14ac:dyDescent="0.2">
      <c r="A4" s="4" t="s">
        <v>4</v>
      </c>
      <c r="B4" s="5">
        <v>4.2999999999999997E-2</v>
      </c>
      <c r="C4" s="4" t="s">
        <v>5</v>
      </c>
    </row>
    <row r="5" spans="1:3" x14ac:dyDescent="0.2">
      <c r="A5" s="6" t="s">
        <v>6</v>
      </c>
      <c r="B5" s="7">
        <v>2.5000000000000001E-2</v>
      </c>
      <c r="C5" s="6" t="s">
        <v>7</v>
      </c>
    </row>
    <row r="6" spans="1:3" x14ac:dyDescent="0.2">
      <c r="A6" s="4" t="s">
        <v>8</v>
      </c>
      <c r="B6" s="8">
        <v>1</v>
      </c>
      <c r="C6" s="4" t="s">
        <v>9</v>
      </c>
    </row>
    <row r="7" spans="1:3" x14ac:dyDescent="0.2">
      <c r="A7" s="6" t="s">
        <v>10</v>
      </c>
      <c r="B7" s="7">
        <v>5.5E-2</v>
      </c>
      <c r="C7" s="6" t="s">
        <v>7</v>
      </c>
    </row>
    <row r="8" spans="1:3" x14ac:dyDescent="0.2">
      <c r="A8" s="4" t="s">
        <v>11</v>
      </c>
      <c r="B8" s="9">
        <f>B4+B5+B6*B7</f>
        <v>0.123</v>
      </c>
      <c r="C8" s="4" t="s">
        <v>12</v>
      </c>
    </row>
    <row r="9" spans="1:3" x14ac:dyDescent="0.2">
      <c r="A9" s="6" t="s">
        <v>13</v>
      </c>
      <c r="B9" s="7">
        <v>0.1</v>
      </c>
      <c r="C9" s="6" t="s">
        <v>14</v>
      </c>
    </row>
    <row r="10" spans="1:3" x14ac:dyDescent="0.2">
      <c r="A10" s="4" t="s">
        <v>15</v>
      </c>
      <c r="B10" s="5">
        <v>0.3</v>
      </c>
      <c r="C10" s="4" t="s">
        <v>16</v>
      </c>
    </row>
    <row r="11" spans="1:3" x14ac:dyDescent="0.2">
      <c r="A11" s="6" t="s">
        <v>17</v>
      </c>
      <c r="B11" s="10">
        <f>B9*(1-B10)</f>
        <v>6.9999999999999993E-2</v>
      </c>
      <c r="C11" s="6" t="s">
        <v>18</v>
      </c>
    </row>
    <row r="12" spans="1:3" x14ac:dyDescent="0.2">
      <c r="A12" s="4" t="s">
        <v>19</v>
      </c>
      <c r="B12" s="5">
        <v>0.25</v>
      </c>
      <c r="C12" s="4" t="s">
        <v>20</v>
      </c>
    </row>
    <row r="13" spans="1:3" x14ac:dyDescent="0.2">
      <c r="A13" s="6" t="s">
        <v>21</v>
      </c>
      <c r="B13" s="10">
        <f>1-B12</f>
        <v>0.75</v>
      </c>
      <c r="C13" s="6"/>
    </row>
    <row r="14" spans="1:3" x14ac:dyDescent="0.2">
      <c r="A14" s="11" t="s">
        <v>22</v>
      </c>
      <c r="B14" s="12">
        <f>B13*B8+B12*B11</f>
        <v>0.10975</v>
      </c>
      <c r="C14" s="11" t="s">
        <v>23</v>
      </c>
    </row>
    <row r="16" spans="1:3" x14ac:dyDescent="0.2">
      <c r="A16" s="13" t="s">
        <v>24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0"/>
  <sheetViews>
    <sheetView zoomScaleNormal="100" workbookViewId="0">
      <selection activeCell="B8" sqref="B8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40" customWidth="1"/>
  </cols>
  <sheetData>
    <row r="1" spans="1:3" ht="16" x14ac:dyDescent="0.2">
      <c r="A1" s="1" t="s">
        <v>25</v>
      </c>
    </row>
    <row r="3" spans="1:3" x14ac:dyDescent="0.2">
      <c r="A3" s="2" t="s">
        <v>26</v>
      </c>
      <c r="B3" s="3" t="s">
        <v>2</v>
      </c>
      <c r="C3" s="2" t="s">
        <v>3</v>
      </c>
    </row>
    <row r="4" spans="1:3" x14ac:dyDescent="0.2">
      <c r="A4" s="4" t="s">
        <v>27</v>
      </c>
      <c r="B4" s="14">
        <v>50</v>
      </c>
      <c r="C4" s="4" t="s">
        <v>28</v>
      </c>
    </row>
    <row r="5" spans="1:3" x14ac:dyDescent="0.2">
      <c r="A5" s="6" t="s">
        <v>29</v>
      </c>
      <c r="B5" s="15">
        <v>7.5</v>
      </c>
      <c r="C5" s="6" t="s">
        <v>30</v>
      </c>
    </row>
    <row r="6" spans="1:3" x14ac:dyDescent="0.2">
      <c r="A6" s="4" t="s">
        <v>31</v>
      </c>
      <c r="B6" s="9">
        <f>B5/B4</f>
        <v>0.15</v>
      </c>
      <c r="C6" s="4"/>
    </row>
    <row r="7" spans="1:3" x14ac:dyDescent="0.2">
      <c r="A7" s="6" t="s">
        <v>32</v>
      </c>
      <c r="B7" s="16">
        <v>8</v>
      </c>
      <c r="C7" s="6" t="s">
        <v>33</v>
      </c>
    </row>
    <row r="8" spans="1:3" x14ac:dyDescent="0.2">
      <c r="A8" s="11" t="s">
        <v>34</v>
      </c>
      <c r="B8" s="17">
        <f>B5*B7</f>
        <v>60</v>
      </c>
      <c r="C8" s="11" t="s">
        <v>35</v>
      </c>
    </row>
    <row r="10" spans="1:3" x14ac:dyDescent="0.2">
      <c r="A10" s="13" t="s">
        <v>36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8"/>
  <sheetViews>
    <sheetView topLeftCell="A3" zoomScaleNormal="100" workbookViewId="0">
      <selection activeCell="B36" sqref="B36"/>
    </sheetView>
  </sheetViews>
  <sheetFormatPr baseColWidth="10" defaultColWidth="8.6640625" defaultRowHeight="15" x14ac:dyDescent="0.2"/>
  <cols>
    <col min="1" max="1" width="48" customWidth="1"/>
    <col min="2" max="7" width="11" customWidth="1"/>
  </cols>
  <sheetData>
    <row r="1" spans="1:7" ht="16" x14ac:dyDescent="0.2">
      <c r="A1" s="1" t="s">
        <v>37</v>
      </c>
    </row>
    <row r="3" spans="1:7" x14ac:dyDescent="0.2">
      <c r="A3" s="2" t="s">
        <v>7</v>
      </c>
      <c r="B3" s="3" t="s">
        <v>2</v>
      </c>
      <c r="C3" s="2" t="s">
        <v>3</v>
      </c>
    </row>
    <row r="4" spans="1:7" x14ac:dyDescent="0.2">
      <c r="A4" s="4" t="s">
        <v>27</v>
      </c>
      <c r="B4" s="18">
        <f>'Múltiplos (preliminar)'!B4</f>
        <v>50</v>
      </c>
      <c r="C4" s="4" t="s">
        <v>38</v>
      </c>
    </row>
    <row r="5" spans="1:7" x14ac:dyDescent="0.2">
      <c r="A5" s="6" t="s">
        <v>39</v>
      </c>
      <c r="B5" s="7">
        <v>0.14000000000000001</v>
      </c>
      <c r="C5" s="6" t="s">
        <v>40</v>
      </c>
    </row>
    <row r="6" spans="1:7" x14ac:dyDescent="0.2">
      <c r="A6" s="4" t="s">
        <v>41</v>
      </c>
      <c r="B6" s="5">
        <v>0.12</v>
      </c>
      <c r="C6" s="4" t="s">
        <v>7</v>
      </c>
    </row>
    <row r="7" spans="1:7" x14ac:dyDescent="0.2">
      <c r="A7" s="6" t="s">
        <v>42</v>
      </c>
      <c r="B7" s="10">
        <f>'Costo de capital'!B10</f>
        <v>0.3</v>
      </c>
      <c r="C7" s="6"/>
    </row>
    <row r="8" spans="1:7" x14ac:dyDescent="0.2">
      <c r="A8" s="4" t="s">
        <v>43</v>
      </c>
      <c r="B8" s="9">
        <f>'Costo de capital'!B14</f>
        <v>0.10975</v>
      </c>
      <c r="C8" s="4" t="s">
        <v>44</v>
      </c>
    </row>
    <row r="9" spans="1:7" x14ac:dyDescent="0.2">
      <c r="A9" s="6" t="s">
        <v>45</v>
      </c>
      <c r="B9" s="7">
        <v>0.04</v>
      </c>
      <c r="C9" s="6" t="s">
        <v>46</v>
      </c>
    </row>
    <row r="10" spans="1:7" x14ac:dyDescent="0.2">
      <c r="A10" s="4" t="s">
        <v>47</v>
      </c>
      <c r="B10" s="14">
        <v>15</v>
      </c>
      <c r="C10" s="4" t="s">
        <v>48</v>
      </c>
    </row>
    <row r="11" spans="1:7" x14ac:dyDescent="0.2">
      <c r="A11" s="6" t="s">
        <v>49</v>
      </c>
      <c r="B11" s="15">
        <v>1</v>
      </c>
      <c r="C11" s="6" t="s">
        <v>50</v>
      </c>
    </row>
    <row r="14" spans="1:7" x14ac:dyDescent="0.2">
      <c r="A14" s="2" t="s">
        <v>26</v>
      </c>
      <c r="B14" s="3" t="s">
        <v>51</v>
      </c>
      <c r="C14" s="3" t="s">
        <v>52</v>
      </c>
      <c r="D14" s="3" t="s">
        <v>53</v>
      </c>
      <c r="E14" s="3" t="s">
        <v>54</v>
      </c>
      <c r="F14" s="3" t="s">
        <v>55</v>
      </c>
      <c r="G14" s="3" t="s">
        <v>56</v>
      </c>
    </row>
    <row r="15" spans="1:7" x14ac:dyDescent="0.2">
      <c r="A15" s="4" t="s">
        <v>57</v>
      </c>
      <c r="B15" s="9"/>
      <c r="C15" s="5">
        <v>0.12</v>
      </c>
      <c r="D15" s="5">
        <v>0.11</v>
      </c>
      <c r="E15" s="5">
        <v>0.1</v>
      </c>
      <c r="F15" s="5">
        <v>0.09</v>
      </c>
      <c r="G15" s="5">
        <v>0.08</v>
      </c>
    </row>
    <row r="16" spans="1:7" x14ac:dyDescent="0.2">
      <c r="A16" s="6" t="s">
        <v>58</v>
      </c>
      <c r="B16" s="19">
        <f>B4</f>
        <v>50</v>
      </c>
      <c r="C16" s="19">
        <f>B16*(1+C15)</f>
        <v>56.000000000000007</v>
      </c>
      <c r="D16" s="19">
        <f>C16*(1+D15)</f>
        <v>62.160000000000011</v>
      </c>
      <c r="E16" s="19">
        <f>D16*(1+E15)</f>
        <v>68.376000000000019</v>
      </c>
      <c r="F16" s="19">
        <f>E16*(1+F15)</f>
        <v>74.529840000000021</v>
      </c>
      <c r="G16" s="19">
        <f>F16*(1+G15)</f>
        <v>80.492227200000031</v>
      </c>
    </row>
    <row r="17" spans="1:8" x14ac:dyDescent="0.2">
      <c r="A17" s="4" t="s">
        <v>59</v>
      </c>
      <c r="B17" s="18"/>
      <c r="C17" s="18">
        <f>C16*$B$5</f>
        <v>7.8400000000000016</v>
      </c>
      <c r="D17" s="18">
        <f>D16*$B$5</f>
        <v>8.7024000000000026</v>
      </c>
      <c r="E17" s="18">
        <f>E16*$B$5</f>
        <v>9.5726400000000034</v>
      </c>
      <c r="F17" s="18">
        <f>F16*$B$5</f>
        <v>10.434177600000003</v>
      </c>
      <c r="G17" s="18">
        <f>G16*$B$5</f>
        <v>11.268911808000006</v>
      </c>
    </row>
    <row r="18" spans="1:8" x14ac:dyDescent="0.2">
      <c r="A18" s="6" t="s">
        <v>60</v>
      </c>
      <c r="B18" s="19"/>
      <c r="C18" s="15">
        <v>1.5</v>
      </c>
      <c r="D18" s="15">
        <v>1.6</v>
      </c>
      <c r="E18" s="15">
        <v>1.7</v>
      </c>
      <c r="F18" s="15">
        <v>1.8</v>
      </c>
      <c r="G18" s="15">
        <v>1.9</v>
      </c>
    </row>
    <row r="19" spans="1:8" x14ac:dyDescent="0.2">
      <c r="A19" s="4" t="s">
        <v>61</v>
      </c>
      <c r="B19" s="18"/>
      <c r="C19" s="18">
        <f>$B$11</f>
        <v>1</v>
      </c>
      <c r="D19" s="14">
        <v>0</v>
      </c>
      <c r="E19" s="14">
        <v>0</v>
      </c>
      <c r="F19" s="14">
        <v>0</v>
      </c>
      <c r="G19" s="14">
        <v>0</v>
      </c>
    </row>
    <row r="20" spans="1:8" x14ac:dyDescent="0.2">
      <c r="A20" s="20" t="s">
        <v>62</v>
      </c>
      <c r="B20" s="21"/>
      <c r="C20" s="21">
        <f>C17-C18-C19</f>
        <v>5.3400000000000016</v>
      </c>
      <c r="D20" s="21">
        <f>D17-D18-D19</f>
        <v>7.1024000000000029</v>
      </c>
      <c r="E20" s="21">
        <f>E17-E18-E19</f>
        <v>7.8726400000000032</v>
      </c>
      <c r="F20" s="21">
        <f>F17-F18-F19</f>
        <v>8.6341776000000028</v>
      </c>
      <c r="G20" s="21">
        <f>G17-G18-G19</f>
        <v>9.3689118080000053</v>
      </c>
    </row>
    <row r="21" spans="1:8" x14ac:dyDescent="0.2">
      <c r="A21" s="4" t="s">
        <v>63</v>
      </c>
      <c r="B21" s="18"/>
      <c r="C21" s="18">
        <f>MAX(0,C20)*$B$7</f>
        <v>1.6020000000000005</v>
      </c>
      <c r="D21" s="18">
        <f>MAX(0,D20)*$B$7</f>
        <v>2.1307200000000006</v>
      </c>
      <c r="E21" s="18">
        <f>MAX(0,E20)*$B$7</f>
        <v>2.3617920000000008</v>
      </c>
      <c r="F21" s="18">
        <f>MAX(0,F20)*$B$7</f>
        <v>2.5902532800000007</v>
      </c>
      <c r="G21" s="18">
        <f>MAX(0,G20)*$B$7</f>
        <v>2.8106735424000013</v>
      </c>
    </row>
    <row r="22" spans="1:8" x14ac:dyDescent="0.2">
      <c r="A22" s="20" t="s">
        <v>64</v>
      </c>
      <c r="B22" s="21"/>
      <c r="C22" s="21">
        <f>C20-C21</f>
        <v>3.7380000000000013</v>
      </c>
      <c r="D22" s="21">
        <f>D20-D21</f>
        <v>4.9716800000000028</v>
      </c>
      <c r="E22" s="21">
        <f>E20-E21</f>
        <v>5.5108480000000029</v>
      </c>
      <c r="F22" s="21">
        <f>F20-F21</f>
        <v>6.0439243200000021</v>
      </c>
      <c r="G22" s="21">
        <f>G20-G21</f>
        <v>6.5582382656000036</v>
      </c>
    </row>
    <row r="23" spans="1:8" x14ac:dyDescent="0.2">
      <c r="A23" s="4" t="s">
        <v>65</v>
      </c>
      <c r="B23" s="18"/>
      <c r="C23" s="18">
        <f>C18</f>
        <v>1.5</v>
      </c>
      <c r="D23" s="18">
        <f>D18</f>
        <v>1.6</v>
      </c>
      <c r="E23" s="18">
        <f>E18</f>
        <v>1.7</v>
      </c>
      <c r="F23" s="18">
        <f>F18</f>
        <v>1.8</v>
      </c>
      <c r="G23" s="18">
        <f>G18</f>
        <v>1.9</v>
      </c>
    </row>
    <row r="24" spans="1:8" x14ac:dyDescent="0.2">
      <c r="A24" s="6" t="s">
        <v>66</v>
      </c>
      <c r="B24" s="19"/>
      <c r="C24" s="15">
        <v>2</v>
      </c>
      <c r="D24" s="15">
        <v>2.1</v>
      </c>
      <c r="E24" s="15">
        <v>2.2000000000000002</v>
      </c>
      <c r="F24" s="15">
        <v>2.2999999999999998</v>
      </c>
      <c r="G24" s="15">
        <v>2.2999999999999998</v>
      </c>
    </row>
    <row r="25" spans="1:8" x14ac:dyDescent="0.2">
      <c r="A25" s="4" t="s">
        <v>67</v>
      </c>
      <c r="B25" s="18">
        <f t="shared" ref="B25:G25" si="0">B16*$B$6</f>
        <v>6</v>
      </c>
      <c r="C25" s="18">
        <f t="shared" si="0"/>
        <v>6.7200000000000006</v>
      </c>
      <c r="D25" s="18">
        <f t="shared" si="0"/>
        <v>7.4592000000000009</v>
      </c>
      <c r="E25" s="18">
        <f t="shared" si="0"/>
        <v>8.2051200000000026</v>
      </c>
      <c r="F25" s="18">
        <f t="shared" si="0"/>
        <v>8.943580800000003</v>
      </c>
      <c r="G25" s="18">
        <f t="shared" si="0"/>
        <v>9.6590672640000026</v>
      </c>
    </row>
    <row r="26" spans="1:8" x14ac:dyDescent="0.2">
      <c r="A26" s="6" t="s">
        <v>68</v>
      </c>
      <c r="B26" s="19"/>
      <c r="C26" s="19">
        <f>C25-B25</f>
        <v>0.72000000000000064</v>
      </c>
      <c r="D26" s="19">
        <f>D25-C25</f>
        <v>0.7392000000000003</v>
      </c>
      <c r="E26" s="19">
        <f>E25-D25</f>
        <v>0.74592000000000169</v>
      </c>
      <c r="F26" s="19">
        <f>F25-E25</f>
        <v>0.73846080000000036</v>
      </c>
      <c r="G26" s="19">
        <f>G25-F25</f>
        <v>0.7154864639999996</v>
      </c>
    </row>
    <row r="27" spans="1:8" x14ac:dyDescent="0.2">
      <c r="A27" s="11" t="s">
        <v>69</v>
      </c>
      <c r="B27" s="17"/>
      <c r="C27" s="17">
        <f>C22+C23-C24-C26</f>
        <v>2.5180000000000007</v>
      </c>
      <c r="D27" s="17">
        <f>D22+D23-D24-D26</f>
        <v>3.7324800000000025</v>
      </c>
      <c r="E27" s="17">
        <f>E22+E23-E24-E26</f>
        <v>4.2649280000000012</v>
      </c>
      <c r="F27" s="17">
        <f>F22+F23-F24-F26</f>
        <v>4.8054635200000018</v>
      </c>
      <c r="G27" s="17">
        <f>G22+G23-G24-G26</f>
        <v>5.4427518016000045</v>
      </c>
      <c r="H27" s="30" t="s">
        <v>120</v>
      </c>
    </row>
    <row r="29" spans="1:8" x14ac:dyDescent="0.2">
      <c r="A29" s="11" t="s">
        <v>70</v>
      </c>
      <c r="G29" s="17">
        <f>G27*(1+B9)/(B8-B9)</f>
        <v>81.153575249663149</v>
      </c>
      <c r="H29" t="s">
        <v>120</v>
      </c>
    </row>
    <row r="30" spans="1:8" x14ac:dyDescent="0.2">
      <c r="A30" s="4" t="s">
        <v>71</v>
      </c>
      <c r="C30" s="22">
        <f>1/(1+$B$8)^1</f>
        <v>0.90110385221896827</v>
      </c>
      <c r="D30" s="22">
        <f>1/(1+$B$8)^2</f>
        <v>0.81198815248386413</v>
      </c>
      <c r="E30" s="22">
        <f>1/(1+$B$8)^3</f>
        <v>0.73168565215937298</v>
      </c>
      <c r="F30" s="22">
        <f>1/(1+$B$8)^4</f>
        <v>0.65932475977415905</v>
      </c>
      <c r="G30" s="22">
        <f>1/(1+$B$8)^5</f>
        <v>0.59412008089584056</v>
      </c>
    </row>
    <row r="31" spans="1:8" x14ac:dyDescent="0.2">
      <c r="A31" s="4" t="s">
        <v>72</v>
      </c>
      <c r="C31" s="18">
        <f>(C27)*C30</f>
        <v>2.2689794998873629</v>
      </c>
      <c r="D31" s="18">
        <f>(D27)*D30</f>
        <v>3.0307295393829752</v>
      </c>
      <c r="E31" s="18">
        <f>(E27)*E30</f>
        <v>3.1205866250927712</v>
      </c>
      <c r="F31" s="18">
        <f>(F27)*F30</f>
        <v>3.168361080927486</v>
      </c>
      <c r="G31" s="18">
        <f>(G27+G29)*G30</f>
        <v>51.448616832979134</v>
      </c>
    </row>
    <row r="33" spans="1:2" x14ac:dyDescent="0.2">
      <c r="A33" s="23" t="s">
        <v>121</v>
      </c>
      <c r="B33" s="24">
        <f>SUM(C31:G31)</f>
        <v>63.037273578269733</v>
      </c>
    </row>
    <row r="34" spans="1:2" x14ac:dyDescent="0.2">
      <c r="A34" s="4" t="s">
        <v>73</v>
      </c>
      <c r="B34" s="18">
        <f>B10</f>
        <v>15</v>
      </c>
    </row>
    <row r="35" spans="1:2" x14ac:dyDescent="0.2">
      <c r="A35" s="11" t="s">
        <v>74</v>
      </c>
      <c r="B35" s="17">
        <f>B33-B34</f>
        <v>48.037273578269733</v>
      </c>
    </row>
    <row r="36" spans="1:2" x14ac:dyDescent="0.2">
      <c r="A36" s="4" t="s">
        <v>122</v>
      </c>
      <c r="B36" s="25">
        <f>B33/(B4*B5)</f>
        <v>9.0053247968956747</v>
      </c>
    </row>
    <row r="38" spans="1:2" x14ac:dyDescent="0.2">
      <c r="A38" s="13" t="s">
        <v>75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6"/>
  <sheetViews>
    <sheetView zoomScaleNormal="100" workbookViewId="0">
      <selection activeCell="A16" sqref="A16"/>
    </sheetView>
  </sheetViews>
  <sheetFormatPr baseColWidth="10" defaultColWidth="8.6640625" defaultRowHeight="15" x14ac:dyDescent="0.2"/>
  <cols>
    <col min="1" max="1" width="28" customWidth="1"/>
    <col min="2" max="2" width="48" customWidth="1"/>
    <col min="3" max="4" width="11" customWidth="1"/>
    <col min="5" max="5" width="40" customWidth="1"/>
  </cols>
  <sheetData>
    <row r="1" spans="1:5" ht="16" x14ac:dyDescent="0.2">
      <c r="A1" s="1" t="s">
        <v>123</v>
      </c>
    </row>
    <row r="3" spans="1:5" x14ac:dyDescent="0.2">
      <c r="A3" s="2" t="s">
        <v>76</v>
      </c>
      <c r="B3" s="2" t="s">
        <v>26</v>
      </c>
      <c r="C3" s="3" t="s">
        <v>77</v>
      </c>
      <c r="D3" s="3" t="s">
        <v>78</v>
      </c>
      <c r="E3" s="2" t="s">
        <v>79</v>
      </c>
    </row>
    <row r="4" spans="1:5" x14ac:dyDescent="0.2">
      <c r="A4" s="4" t="s">
        <v>80</v>
      </c>
      <c r="B4" s="26" t="s">
        <v>81</v>
      </c>
      <c r="C4" s="18"/>
      <c r="D4" s="18">
        <f>'Múltiplos (preliminar)'!B8</f>
        <v>60</v>
      </c>
      <c r="E4" s="4" t="s">
        <v>82</v>
      </c>
    </row>
    <row r="5" spans="1:5" x14ac:dyDescent="0.2">
      <c r="A5" s="6" t="s">
        <v>83</v>
      </c>
      <c r="B5" s="27" t="s">
        <v>84</v>
      </c>
      <c r="C5" s="19">
        <f>'Flujo de caja libre (DCF)'!B33-D4</f>
        <v>3.0372735782697333</v>
      </c>
      <c r="D5" s="19"/>
      <c r="E5" s="6" t="s">
        <v>85</v>
      </c>
    </row>
    <row r="6" spans="1:5" x14ac:dyDescent="0.2">
      <c r="A6" s="4"/>
      <c r="B6" s="26" t="s">
        <v>86</v>
      </c>
      <c r="C6" s="18"/>
      <c r="D6" s="18">
        <f>'Flujo de caja libre (DCF)'!B33</f>
        <v>63.037273578269733</v>
      </c>
      <c r="E6" s="4" t="s">
        <v>87</v>
      </c>
    </row>
    <row r="7" spans="1:5" x14ac:dyDescent="0.2">
      <c r="A7" s="6"/>
      <c r="B7" s="27" t="s">
        <v>73</v>
      </c>
      <c r="C7" s="19">
        <f>-'Flujo de caja libre (DCF)'!B34</f>
        <v>-15</v>
      </c>
      <c r="D7" s="19"/>
      <c r="E7" s="6" t="s">
        <v>88</v>
      </c>
    </row>
    <row r="8" spans="1:5" x14ac:dyDescent="0.2">
      <c r="A8" s="11"/>
      <c r="B8" s="28" t="s">
        <v>89</v>
      </c>
      <c r="C8" s="17"/>
      <c r="D8" s="17">
        <f>D6+C7</f>
        <v>48.037273578269733</v>
      </c>
      <c r="E8" s="11" t="s">
        <v>90</v>
      </c>
    </row>
    <row r="9" spans="1:5" ht="28" x14ac:dyDescent="0.2">
      <c r="A9" s="6" t="s">
        <v>91</v>
      </c>
      <c r="B9" s="27" t="s">
        <v>92</v>
      </c>
      <c r="C9" s="15">
        <v>-3</v>
      </c>
      <c r="D9" s="19"/>
      <c r="E9" s="6" t="s">
        <v>93</v>
      </c>
    </row>
    <row r="10" spans="1:5" x14ac:dyDescent="0.2">
      <c r="A10" s="11"/>
      <c r="B10" s="28" t="s">
        <v>94</v>
      </c>
      <c r="C10" s="17"/>
      <c r="D10" s="17">
        <f>D8+C9</f>
        <v>45.037273578269733</v>
      </c>
      <c r="E10" s="11"/>
    </row>
    <row r="12" spans="1:5" x14ac:dyDescent="0.2">
      <c r="A12" s="23" t="s">
        <v>95</v>
      </c>
      <c r="D12" s="24">
        <f>D10-D4</f>
        <v>-14.962726421730267</v>
      </c>
      <c r="E12" s="9">
        <f>D12/D4</f>
        <v>-0.24937877369550446</v>
      </c>
    </row>
    <row r="13" spans="1:5" x14ac:dyDescent="0.2">
      <c r="A13" s="4" t="s">
        <v>96</v>
      </c>
      <c r="D13" s="18">
        <f>'Flujo de caja libre (DCF)'!B25</f>
        <v>6</v>
      </c>
    </row>
    <row r="14" spans="1:5" x14ac:dyDescent="0.2">
      <c r="A14" s="4" t="s">
        <v>97</v>
      </c>
      <c r="D14" s="18">
        <f>D13*0.05</f>
        <v>0.30000000000000004</v>
      </c>
    </row>
    <row r="16" spans="1:5" x14ac:dyDescent="0.2">
      <c r="A16" s="13" t="s">
        <v>98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4"/>
  <sheetViews>
    <sheetView zoomScaleNormal="100" workbookViewId="0">
      <selection activeCell="C24" sqref="C24"/>
    </sheetView>
  </sheetViews>
  <sheetFormatPr baseColWidth="10" defaultColWidth="8.6640625" defaultRowHeight="15" x14ac:dyDescent="0.2"/>
  <cols>
    <col min="1" max="1" width="53.5" customWidth="1"/>
    <col min="2" max="3" width="16" customWidth="1"/>
    <col min="4" max="6" width="12" customWidth="1"/>
  </cols>
  <sheetData>
    <row r="1" spans="1:6" ht="16" x14ac:dyDescent="0.2">
      <c r="A1" s="1" t="s">
        <v>99</v>
      </c>
    </row>
    <row r="3" spans="1:6" x14ac:dyDescent="0.2">
      <c r="A3" s="2" t="s">
        <v>7</v>
      </c>
      <c r="B3" s="3" t="s">
        <v>2</v>
      </c>
      <c r="C3" s="2" t="s">
        <v>3</v>
      </c>
    </row>
    <row r="4" spans="1:6" x14ac:dyDescent="0.2">
      <c r="A4" s="4" t="s">
        <v>100</v>
      </c>
      <c r="B4" s="14">
        <v>1</v>
      </c>
      <c r="C4" s="4" t="s">
        <v>101</v>
      </c>
    </row>
    <row r="5" spans="1:6" x14ac:dyDescent="0.2">
      <c r="A5" s="6" t="s">
        <v>102</v>
      </c>
      <c r="B5" s="15">
        <v>5</v>
      </c>
      <c r="C5" s="6" t="s">
        <v>103</v>
      </c>
    </row>
    <row r="6" spans="1:6" x14ac:dyDescent="0.2">
      <c r="A6" s="4" t="s">
        <v>104</v>
      </c>
      <c r="B6" s="9">
        <f>'Flujo de caja libre (DCF)'!B5</f>
        <v>0.14000000000000001</v>
      </c>
      <c r="C6" s="4"/>
    </row>
    <row r="7" spans="1:6" x14ac:dyDescent="0.2">
      <c r="A7" s="6" t="s">
        <v>105</v>
      </c>
      <c r="B7" s="15">
        <v>20</v>
      </c>
      <c r="C7" s="6" t="s">
        <v>106</v>
      </c>
    </row>
    <row r="10" spans="1:6" x14ac:dyDescent="0.2">
      <c r="A10" s="2" t="s">
        <v>26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</row>
    <row r="11" spans="1:6" x14ac:dyDescent="0.2">
      <c r="A11" s="4" t="s">
        <v>107</v>
      </c>
      <c r="B11" s="29">
        <v>0.3</v>
      </c>
      <c r="C11" s="29">
        <v>0.7</v>
      </c>
      <c r="D11" s="29">
        <v>1</v>
      </c>
      <c r="E11" s="29">
        <v>1</v>
      </c>
      <c r="F11" s="29">
        <v>1</v>
      </c>
    </row>
    <row r="12" spans="1:6" x14ac:dyDescent="0.2">
      <c r="A12" s="6" t="s">
        <v>108</v>
      </c>
      <c r="B12" s="19">
        <f>($B$4+$B$5*$B$6)*B11*(1+'Flujo de caja libre (DCF)'!$B$9)^0</f>
        <v>0.51</v>
      </c>
      <c r="C12" s="19">
        <f>($B$4+$B$5*$B$6)*C11*(1+'Flujo de caja libre (DCF)'!$B$9)^1</f>
        <v>1.2376</v>
      </c>
      <c r="D12" s="19">
        <f>($B$4+$B$5*$B$6)*D11*(1+'Flujo de caja libre (DCF)'!$B$9)^2</f>
        <v>1.8387200000000004</v>
      </c>
      <c r="E12" s="19">
        <f>($B$4+$B$5*$B$6)*E11*(1+'Flujo de caja libre (DCF)'!$B$9)^3</f>
        <v>1.9122688000000003</v>
      </c>
      <c r="F12" s="19">
        <f>($B$4+$B$5*$B$6)*F11*(1+'Flujo de caja libre (DCF)'!$B$9)^4</f>
        <v>1.9887595520000005</v>
      </c>
    </row>
    <row r="13" spans="1:6" x14ac:dyDescent="0.2">
      <c r="A13" s="4" t="s">
        <v>109</v>
      </c>
      <c r="B13" s="18">
        <f>B12*(1-'Flujo de caja libre (DCF)'!$B$7)</f>
        <v>0.35699999999999998</v>
      </c>
      <c r="C13" s="18">
        <f>C12*(1-'Flujo de caja libre (DCF)'!$B$7)</f>
        <v>0.86631999999999998</v>
      </c>
      <c r="D13" s="18">
        <f>D12*(1-'Flujo de caja libre (DCF)'!$B$7)</f>
        <v>1.2871040000000002</v>
      </c>
      <c r="E13" s="18">
        <f>E12*(1-'Flujo de caja libre (DCF)'!$B$7)</f>
        <v>1.3385881600000002</v>
      </c>
      <c r="F13" s="18">
        <f>F12*(1-'Flujo de caja libre (DCF)'!$B$7)</f>
        <v>1.3921316864000004</v>
      </c>
    </row>
    <row r="14" spans="1:6" x14ac:dyDescent="0.2">
      <c r="A14" s="6" t="s">
        <v>110</v>
      </c>
      <c r="B14" s="19">
        <f>(B13)/(1+'Flujo de caja libre (DCF)'!$B$8)^1</f>
        <v>0.32169407524217164</v>
      </c>
      <c r="C14" s="19">
        <f>(C13)/(1+'Flujo de caja libre (DCF)'!$B$8)^2</f>
        <v>0.70344157625982118</v>
      </c>
      <c r="D14" s="19">
        <f>(D13)/(1+'Flujo de caja libre (DCF)'!$B$8)^3</f>
        <v>0.94175552963693776</v>
      </c>
      <c r="E14" s="19">
        <f>(E13)/(1+'Flujo de caja libre (DCF)'!$B$8)^4</f>
        <v>0.88256431702853377</v>
      </c>
      <c r="F14" s="19">
        <f>(F13+F13*(1+'Flujo de caja libre (DCF)'!$B$9)/('Flujo de caja libre (DCF)'!$B$8-'Flujo de caja libre (DCF)'!$B$9))/(1+'Flujo de caja libre (DCF)'!$B$8)^5</f>
        <v>13.159381931321507</v>
      </c>
    </row>
    <row r="16" spans="1:6" x14ac:dyDescent="0.2">
      <c r="A16" s="11" t="s">
        <v>111</v>
      </c>
      <c r="B16" s="17">
        <f>SUM(B14:F14)</f>
        <v>16.00883742948897</v>
      </c>
    </row>
    <row r="18" spans="1:3" ht="28" x14ac:dyDescent="0.2">
      <c r="A18" s="2" t="s">
        <v>112</v>
      </c>
      <c r="B18" s="3" t="s">
        <v>113</v>
      </c>
      <c r="C18" s="3" t="s">
        <v>114</v>
      </c>
    </row>
    <row r="19" spans="1:3" x14ac:dyDescent="0.2">
      <c r="A19" s="4" t="s">
        <v>115</v>
      </c>
      <c r="B19" s="18">
        <f>'Flujo de caja libre (DCF)'!B35</f>
        <v>48.037273578269733</v>
      </c>
      <c r="C19" s="18">
        <f>'Flujo de caja libre (DCF)'!B35</f>
        <v>48.037273578269733</v>
      </c>
    </row>
    <row r="20" spans="1:3" x14ac:dyDescent="0.2">
      <c r="A20" s="4" t="s">
        <v>116</v>
      </c>
      <c r="B20" s="18">
        <f>B16</f>
        <v>16.00883742948897</v>
      </c>
      <c r="C20" s="18">
        <f>B16</f>
        <v>16.00883742948897</v>
      </c>
    </row>
    <row r="21" spans="1:3" x14ac:dyDescent="0.2">
      <c r="A21" s="4" t="s">
        <v>117</v>
      </c>
      <c r="B21" s="18">
        <f>'Precio en 3 momentos'!D8</f>
        <v>48.037273578269733</v>
      </c>
      <c r="C21" s="18">
        <f>'Precio en 3 momentos'!D10</f>
        <v>45.037273578269733</v>
      </c>
    </row>
    <row r="22" spans="1:3" x14ac:dyDescent="0.2">
      <c r="A22" s="11" t="s">
        <v>118</v>
      </c>
      <c r="B22" s="17">
        <f>B19+B20-B21</f>
        <v>16.008837429488963</v>
      </c>
      <c r="C22" s="17">
        <f>C19+C20-C21</f>
        <v>19.008837429488963</v>
      </c>
    </row>
    <row r="24" spans="1:3" x14ac:dyDescent="0.2">
      <c r="A24" s="13" t="s">
        <v>119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Costo de capital</vt:lpstr>
      <vt:lpstr>Múltiplos (preliminar)</vt:lpstr>
      <vt:lpstr>Flujo de caja libre (DCF)</vt:lpstr>
      <vt:lpstr>Precio en 3 momentos</vt:lpstr>
      <vt:lpstr>Sinergias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Ricardo Rivera Goitia</cp:lastModifiedBy>
  <cp:revision>0</cp:revision>
  <dcterms:created xsi:type="dcterms:W3CDTF">2026-10-17T23:31:30Z</dcterms:created>
  <dcterms:modified xsi:type="dcterms:W3CDTF">2026-10-18T02:05:20Z</dcterms:modified>
  <dc:language>en-US</dc:language>
</cp:coreProperties>
</file>