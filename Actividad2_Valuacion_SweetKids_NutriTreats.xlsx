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sto de capital" sheetId="1" state="visible" r:id="rId3"/>
    <sheet name="Múltiplos (preliminar)" sheetId="2" state="visible" r:id="rId4"/>
    <sheet name="Flujo de caja libre (DCF)" sheetId="3" state="visible" r:id="rId5"/>
    <sheet name="Precio en 3 momentos" sheetId="4" state="visible" r:id="rId6"/>
    <sheet name="Sinergi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<sst xmlns="http://schemas.openxmlformats.org/spreadsheetml/2006/main" count="155" uniqueCount="132">
  <si>
    <t xml:space="preserve">Costo de capital de SweetKids México: CAPM y costo promedio ponderado (WACC)</t>
  </si>
  <si>
    <t xml:space="preserve">Componente</t>
  </si>
  <si>
    <t xml:space="preserve">Valor</t>
  </si>
  <si>
    <t xml:space="preserve">Comentario</t>
  </si>
  <si>
    <t xml:space="preserve">Tasa libre de riesgo (bono del Tesoro de EE. UU. a 10 años)</t>
  </si>
  <si>
    <t xml:space="preserve">Supuesto en dólares</t>
  </si>
  <si>
    <t xml:space="preserve">Prima de riesgo país México</t>
  </si>
  <si>
    <t xml:space="preserve">Supuesto</t>
  </si>
  <si>
    <t xml:space="preserve">Beta del sector alimentos</t>
  </si>
  <si>
    <t xml:space="preserve">Supuesto: sector de consumo básico</t>
  </si>
  <si>
    <t xml:space="preserve">Prima de riesgo de mercado</t>
  </si>
  <si>
    <t xml:space="preserve">Costo del capital propio (Ke) = rf + riesgo país + beta × prima</t>
  </si>
  <si>
    <t xml:space="preserve">Modelo CAPM</t>
  </si>
  <si>
    <t xml:space="preserve">Costo de la deuda bancaria antes de impuestos (Kd)</t>
  </si>
  <si>
    <t xml:space="preserve">Supuesto: crédito de la expansión de 2022</t>
  </si>
  <si>
    <t xml:space="preserve">Tasa de ISR en México</t>
  </si>
  <si>
    <t xml:space="preserve">Tasa corporativa</t>
  </si>
  <si>
    <t xml:space="preserve">Costo de la deuda después de impuestos</t>
  </si>
  <si>
    <t xml:space="preserve">Kd × (1 − ISR)</t>
  </si>
  <si>
    <t xml:space="preserve">Peso de la deuda (D / V)</t>
  </si>
  <si>
    <t xml:space="preserve">Deuda de USD 15 M sobre un valor cercano a USD 60 M</t>
  </si>
  <si>
    <t xml:space="preserve">Peso del capital (E / V)</t>
  </si>
  <si>
    <t xml:space="preserve">Costo de capital promedio ponderado (WACC)</t>
  </si>
  <si>
    <t xml:space="preserve">Tasa de descuento del flujo de caja libre</t>
  </si>
  <si>
    <t xml:space="preserve">Cifras en azul = supuestos; en negro = fórmulas. Escenario hipotético con fines académicos.</t>
  </si>
  <si>
    <t xml:space="preserve">Momento 1. Estimación preliminar antes de la auditoría (millones de USD)</t>
  </si>
  <si>
    <t xml:space="preserve">Concepto</t>
  </si>
  <si>
    <t xml:space="preserve">Ventas 2025</t>
  </si>
  <si>
    <t xml:space="preserve">Supuesto: el caso no informa las ventas</t>
  </si>
  <si>
    <t xml:space="preserve">EBITDA 2025</t>
  </si>
  <si>
    <t xml:space="preserve">Supuesto: margen de 15%, calibrado para llegar a los USD 60 M del caso</t>
  </si>
  <si>
    <t xml:space="preserve">Margen EBITDA</t>
  </si>
  <si>
    <t xml:space="preserve">Múltiplo VE / EBITDA de empresas comparables</t>
  </si>
  <si>
    <t xml:space="preserve">Golosinas y snacks saludables</t>
  </si>
  <si>
    <t xml:space="preserve">Valor estimado de SweetKids (antes de auditoría)</t>
  </si>
  <si>
    <t xml:space="preserve">Supone una empresa sin deuda</t>
  </si>
  <si>
    <t xml:space="preserve">Coincide con la estimación del caso: USD 60 millones.</t>
  </si>
  <si>
    <t xml:space="preserve">Momento 2. Valoración formal posterior a la due diligence: flujo de caja libre descontado (millones de USD)</t>
  </si>
  <si>
    <t xml:space="preserve">Base</t>
  </si>
  <si>
    <t xml:space="preserve">Margen EBITDA normalizado</t>
  </si>
  <si>
    <t xml:space="preserve">15% reportado − 1 punto por costos laborales sindicales</t>
  </si>
  <si>
    <t xml:space="preserve">Capital de trabajo neto / ventas</t>
  </si>
  <si>
    <t xml:space="preserve">Tasa de ISR</t>
  </si>
  <si>
    <t xml:space="preserve">Costo de capital (WACC)</t>
  </si>
  <si>
    <t xml:space="preserve">Hoja Costo de capital</t>
  </si>
  <si>
    <t xml:space="preserve">Crecimiento a perpetuidad</t>
  </si>
  <si>
    <t xml:space="preserve">Menor al 15% del mercado: crecimiento maduro</t>
  </si>
  <si>
    <t xml:space="preserve">Deuda bancaria detectada en la due diligence</t>
  </si>
  <si>
    <t xml:space="preserve">Dato del caso</t>
  </si>
  <si>
    <t xml:space="preserve">Pago único por contingencias laborales (2026)</t>
  </si>
  <si>
    <t xml:space="preserve">Revisión de contratos sindicales</t>
  </si>
  <si>
    <t xml:space="preserve">2025 (base)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</si>
  <si>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</si>
  <si>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</si>
  <si>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</si>
  <si>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</si>
  <si>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</si>
  <si>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Crecimiento de ventas</t>
  </si>
  <si>
    <t xml:space="preserve">Ventas</t>
  </si>
  <si>
    <t xml:space="preserve">EBITDA normalizado</t>
  </si>
  <si>
    <t xml:space="preserve">(−) Depreciación y amortización</t>
  </si>
  <si>
    <t xml:space="preserve">(−) Contingencias laborales</t>
  </si>
  <si>
    <t xml:space="preserve">(=) EBIT</t>
  </si>
  <si>
    <t xml:space="preserve">(−) ISR</t>
  </si>
  <si>
    <t xml:space="preserve">(=) NOPAT</t>
  </si>
  <si>
    <t xml:space="preserve">(+) Depreciación y amortización</t>
  </si>
  <si>
    <t xml:space="preserve">(−) Inversión en activos (capex)</t>
  </si>
  <si>
    <t xml:space="preserve">Capital de trabajo neto (saldo)</t>
  </si>
  <si>
    <t xml:space="preserve">(−) Incremento en capital de trabajo</t>
  </si>
  <si>
    <t xml:space="preserve">(=) Flujo de caja libre</t>
  </si>
  <si>
    <t xml:space="preserve"> </t>
  </si>
  <si>
    <t xml:space="preserve">Valor terminal en 2030 = FCL 2031 / (WACC − g)</t>
  </si>
  <si>
    <t xml:space="preserve">Factor de descuento</t>
  </si>
  <si>
    <t xml:space="preserve">Valor presente del flujo (y del valor terminal)</t>
  </si>
  <si>
    <t xml:space="preserve">Valor de la empresa (EV)</t>
  </si>
  <si>
    <t xml:space="preserve">(−) Deuda bancaria</t>
  </si>
  <si>
    <t xml:space="preserve">(=) Valor del capital = precio ajustado</t>
  </si>
  <si>
    <t xml:space="preserve">EV / EBITDA normalizado 2025</t>
  </si>
  <si>
    <t xml:space="preserve">Cifras en azul = supuestos; en negro = fórmulas. Paréntesis = cifras negativas.</t>
  </si>
  <si>
    <t xml:space="preserve">Ajustes al precio de la transacción en los tres momentos clave (millones de USD)</t>
  </si>
  <si>
    <t xml:space="preserve">Momento</t>
  </si>
  <si>
    <t xml:space="preserve">Ajuste</t>
  </si>
  <si>
    <t xml:space="preserve">Precio</t>
  </si>
  <si>
    <t xml:space="preserve">Método o mecanismo</t>
  </si>
  <si>
    <t xml:space="preserve">1. Antes de la auditoría</t>
  </si>
  <si>
    <t xml:space="preserve">Valor preliminar</t>
  </si>
  <si>
    <t xml:space="preserve">Múltiplos: 7.5 × 8.0x</t>
  </si>
  <si>
    <t xml:space="preserve">2. Después de la due diligence</t>
  </si>
  <si>
    <t xml:space="preserve">Diferencia entre DCF y múltiplos</t>
  </si>
  <si>
    <t xml:space="preserve">Flujo de caja libre con margen normalizado</t>
  </si>
  <si>
    <t xml:space="preserve">Valor de la empresa por DCF</t>
  </si>
  <si>
    <t xml:space="preserve">WACC por CAPM</t>
  </si>
  <si>
    <t xml:space="preserve">Dato de la due diligence</t>
  </si>
  <si>
    <t xml:space="preserve">Precio ajustado</t>
  </si>
  <si>
    <t xml:space="preserve">Coincide con el caso: USD 48 M</t>
  </si>
  <si>
    <t xml:space="preserve">3. Al cierre</t>
  </si>
  <si>
    <t xml:space="preserve">(−) Cláusula: caída del capital de trabajo neto &gt; 5% en 6 meses</t>
  </si>
  <si>
    <t xml:space="preserve">Ajuste contractual (dato del caso)</t>
  </si>
  <si>
    <t xml:space="preserve">Precio mínimo si se activa la cláusula</t>
  </si>
  <si>
    <t xml:space="preserve">Reducción total frente al valor preliminar</t>
  </si>
  <si>
    <t xml:space="preserve">Capital de trabajo neto 2025</t>
  </si>
  <si>
    <t xml:space="preserve">Caída de 5% que activa la cláusula</t>
  </si>
  <si>
    <t xml:space="preserve">La cláusula descuenta USD 3 M aunque la caída mínima que la activa sea de unos USD 0.3 M: es una protección fuerte para el comprador.</t>
  </si>
  <si>
    <t xml:space="preserve">Sinergias estimadas para NutriTreats y valor creado con cada precio (millones de USD)</t>
  </si>
  <si>
    <t xml:space="preserve">Ahorro en compras de insumos (año completo)</t>
  </si>
  <si>
    <t xml:space="preserve">≈3.6% del costo de ventas de SweetKids (55% de USD 50 M)</t>
  </si>
  <si>
    <t xml:space="preserve">Ventas adicionales de NutriTreats en canales de SweetKids (año 3)</t>
  </si>
  <si>
    <t xml:space="preserve">Barras y galletas en escuelas y tiendas de conveniencia</t>
  </si>
  <si>
    <t xml:space="preserve">Margen EBITDA sobre esas ventas</t>
  </si>
  <si>
    <t xml:space="preserve">Inversión en planta que NutriTreats evita</t>
  </si>
  <si>
    <t xml:space="preserve">Supuesto: costo de construir capacidad propia en México</t>
  </si>
  <si>
    <t xml:space="preserve">Grado de captura</t>
  </si>
  <si>
    <t xml:space="preserve">Sinergias antes de impuestos</t>
  </si>
  <si>
    <t xml:space="preserve">Sinergias después de impuestos</t>
  </si>
  <si>
    <t xml:space="preserve">Valor presente</t>
  </si>
  <si>
    <t xml:space="preserve">Valor presente de las sinergias</t>
  </si>
  <si>
    <t xml:space="preserve">Valor creado para NutriTreats</t>
  </si>
  <si>
    <t xml:space="preserve">Pagando USD 48 M</t>
  </si>
  <si>
    <t xml:space="preserve">Pagando USD 45 M</t>
  </si>
  <si>
    <t xml:space="preserve">OPA hostil (prima de 30%)</t>
  </si>
  <si>
    <t xml:space="preserve">Valor del capital de SweetKids (DCF)</t>
  </si>
  <si>
    <t xml:space="preserve">(+) Valor presente de las sinergias</t>
  </si>
  <si>
    <t xml:space="preserve">(−) Precio pagado</t>
  </si>
  <si>
    <t xml:space="preserve">(=) Valor presente neto para NutriTreats</t>
  </si>
  <si>
    <t xml:space="preserve">Precio máximo y supuestos de negociación</t>
  </si>
  <si>
    <t xml:space="preserve">Prima de una OPA hostil</t>
  </si>
  <si>
    <t xml:space="preserve">Supuesto; Kraft ofreció 31% de prima por Cadbury</t>
  </si>
  <si>
    <t xml:space="preserve">Parte de las sinergias que se cedería al vendedor</t>
  </si>
  <si>
    <t xml:space="preserve">Supuesto de negociación</t>
  </si>
  <si>
    <t xml:space="preserve">Precio máximo = valor DCF + 25% de las sinergias</t>
  </si>
  <si>
    <t xml:space="preserve">Por encima de este precio no conviene comprar</t>
  </si>
  <si>
    <t xml:space="preserve">Cifras en azul = supuestos; en negro = fórmulas. La inversión evitada en planta no se suma al VPN; se usa como argumento estratégico.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</si>
</sst>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0.00"/>
    <numFmt numFmtId="167" formatCode="#,##0.0;\(#,##0.0\)"/>
    <numFmt numFmtId="168" formatCode="0.0\x"/>
    <numFmt numFmtId="169" formatCode="0.000"/>
    <numFmt numFmtId="170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4E79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1F2937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1F2937"/>
      <name val="Arial"/>
      <family val="2"/>
      <charset val="1"/>
    </font>
    <font>
      <i val="true"/>
      <sz val="9"/>
      <color rgb="FF555555"/>
      <name val="Arial"/>
      <family val="2"/>
      <charset val="1"/>
    </font>
    <font>
      <sz val="10"/>
      <color rgb="FF0000FF"/>
      <name val="Arial"/>
      <family val="0"/>
      <charset val="1"/>
    </font>
    <font>
      <sz val="10"/>
      <color rgb="FF1F293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5F9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1F2937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2F5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2"/>
    <col collapsed="false" customWidth="true" hidden="false" outlineLevel="0" max="3" min="3" style="1" width="48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  <c r="C3" s="3" t="s">
        <v>3</v>
      </c>
    </row>
    <row r="4" customFormat="false" ht="15" hidden="false" customHeight="true" outlineLevel="0" collapsed="false">
      <c r="A4" s="5" t="s">
        <v>4</v>
      </c>
      <c r="B4" s="6" t="n">
        <v>0.043</v>
      </c>
      <c r="C4" s="5" t="s">
        <v>5</v>
      </c>
    </row>
    <row r="5" customFormat="false" ht="15" hidden="false" customHeight="true" outlineLevel="0" collapsed="false">
      <c r="A5" s="7" t="s">
        <v>6</v>
      </c>
      <c r="B5" s="8" t="n">
        <v>0.025</v>
      </c>
      <c r="C5" s="7" t="s">
        <v>7</v>
      </c>
    </row>
    <row r="6" customFormat="false" ht="15" hidden="false" customHeight="true" outlineLevel="0" collapsed="false">
      <c r="A6" s="5" t="s">
        <v>8</v>
      </c>
      <c r="B6" s="9" t="n">
        <v>1</v>
      </c>
      <c r="C6" s="5" t="s">
        <v>9</v>
      </c>
    </row>
    <row r="7" customFormat="false" ht="15" hidden="false" customHeight="true" outlineLevel="0" collapsed="false">
      <c r="A7" s="7" t="s">
        <v>10</v>
      </c>
      <c r="B7" s="8" t="n">
        <v>0.055</v>
      </c>
      <c r="C7" s="7" t="s">
        <v>7</v>
      </c>
    </row>
    <row r="8" customFormat="false" ht="15" hidden="false" customHeight="true" outlineLevel="0" collapsed="false">
      <c r="A8" s="5" t="s">
        <v>11</v>
      </c>
      <c r="B8" s="10" t="n">
        <f aca="false">B4+B5+B6*B7</f>
        <v>0.123</v>
      </c>
      <c r="C8" s="5" t="s">
        <v>12</v>
      </c>
    </row>
    <row r="9" customFormat="false" ht="15" hidden="false" customHeight="true" outlineLevel="0" collapsed="false">
      <c r="A9" s="7" t="s">
        <v>13</v>
      </c>
      <c r="B9" s="8" t="n">
        <v>0.1</v>
      </c>
      <c r="C9" s="7" t="s">
        <v>14</v>
      </c>
    </row>
    <row r="10" customFormat="false" ht="15" hidden="false" customHeight="true" outlineLevel="0" collapsed="false">
      <c r="A10" s="5" t="s">
        <v>15</v>
      </c>
      <c r="B10" s="6" t="n">
        <v>0.3</v>
      </c>
      <c r="C10" s="5" t="s">
        <v>16</v>
      </c>
    </row>
    <row r="11" customFormat="false" ht="15" hidden="false" customHeight="true" outlineLevel="0" collapsed="false">
      <c r="A11" s="7" t="s">
        <v>17</v>
      </c>
      <c r="B11" s="11" t="n">
        <f aca="false">B9*(1-B10)</f>
        <v>0.07</v>
      </c>
      <c r="C11" s="7" t="s">
        <v>18</v>
      </c>
    </row>
    <row r="12" customFormat="false" ht="15" hidden="false" customHeight="true" outlineLevel="0" collapsed="false">
      <c r="A12" s="5" t="s">
        <v>19</v>
      </c>
      <c r="B12" s="6" t="n">
        <v>0.25</v>
      </c>
      <c r="C12" s="5" t="s">
        <v>20</v>
      </c>
    </row>
    <row r="13" customFormat="false" ht="15" hidden="false" customHeight="true" outlineLevel="0" collapsed="false">
      <c r="A13" s="7" t="s">
        <v>21</v>
      </c>
      <c r="B13" s="11" t="n">
        <f aca="false">1-B12</f>
        <v>0.75</v>
      </c>
      <c r="C13" s="7"/>
    </row>
    <row r="14" customFormat="false" ht="15" hidden="false" customHeight="true" outlineLevel="0" collapsed="false">
      <c r="A14" s="12" t="s">
        <v>22</v>
      </c>
      <c r="B14" s="13" t="n">
        <f aca="false">B13*B8+B12*B11</f>
        <v>0.10975</v>
      </c>
      <c r="C14" s="12" t="s">
        <v>23</v>
      </c>
    </row>
    <row r="16" customFormat="false" ht="15" hidden="false" customHeight="true" outlineLevel="0" collapsed="false">
      <c r="A16" s="14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2"/>
    <col collapsed="false" customWidth="true" hidden="false" outlineLevel="0" max="3" min="3" style="1" width="40"/>
  </cols>
  <sheetData>
    <row r="1" customFormat="false" ht="15.75" hidden="false" customHeight="true" outlineLevel="0" collapsed="false">
      <c r="A1" s="2" t="s">
        <v>25</v>
      </c>
    </row>
    <row r="3" customFormat="false" ht="15" hidden="false" customHeight="true" outlineLevel="0" collapsed="false">
      <c r="A3" s="3" t="s">
        <v>26</v>
      </c>
      <c r="B3" s="4" t="s">
        <v>2</v>
      </c>
      <c r="C3" s="3" t="s">
        <v>3</v>
      </c>
    </row>
    <row r="4" customFormat="false" ht="15" hidden="false" customHeight="true" outlineLevel="0" collapsed="false">
      <c r="A4" s="5" t="s">
        <v>27</v>
      </c>
      <c r="B4" s="15" t="n">
        <v>50</v>
      </c>
      <c r="C4" s="5" t="s">
        <v>28</v>
      </c>
    </row>
    <row r="5" customFormat="false" ht="15" hidden="false" customHeight="true" outlineLevel="0" collapsed="false">
      <c r="A5" s="7" t="s">
        <v>29</v>
      </c>
      <c r="B5" s="16" t="n">
        <v>7.5</v>
      </c>
      <c r="C5" s="7" t="s">
        <v>30</v>
      </c>
    </row>
    <row r="6" customFormat="false" ht="15" hidden="false" customHeight="true" outlineLevel="0" collapsed="false">
      <c r="A6" s="5" t="s">
        <v>31</v>
      </c>
      <c r="B6" s="10" t="n">
        <f aca="false">B5/B4</f>
        <v>0.15</v>
      </c>
      <c r="C6" s="5"/>
    </row>
    <row r="7" customFormat="false" ht="15" hidden="false" customHeight="true" outlineLevel="0" collapsed="false">
      <c r="A7" s="7" t="s">
        <v>32</v>
      </c>
      <c r="B7" s="17" t="n">
        <v>8</v>
      </c>
      <c r="C7" s="7" t="s">
        <v>33</v>
      </c>
    </row>
    <row r="8" customFormat="false" ht="15" hidden="false" customHeight="true" outlineLevel="0" collapsed="false">
      <c r="A8" s="12" t="s">
        <v>34</v>
      </c>
      <c r="B8" s="18" t="n">
        <f aca="false">B5*B7</f>
        <v>60</v>
      </c>
      <c r="C8" s="12" t="s">
        <v>35</v>
      </c>
    </row>
    <row r="10" customFormat="false" ht="15" hidden="false" customHeight="true" outlineLevel="0" collapsed="false">
      <c r="A10" s="1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B36" activeCellId="0" sqref="B3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7" min="2" style="1" width="11"/>
  </cols>
  <sheetData>
    <row r="1" customFormat="false" ht="15.75" hidden="false" customHeight="true" outlineLevel="0" collapsed="false">
      <c r="A1" s="2" t="s">
        <v>37</v>
      </c>
    </row>
    <row r="3" customFormat="false" ht="15" hidden="false" customHeight="true" outlineLevel="0" collapsed="false">
      <c r="A3" s="3" t="s">
        <v>7</v>
      </c>
      <c r="B3" s="4" t="s">
        <v>2</v>
      </c>
      <c r="C3" s="3" t="s">
        <v>3</v>
      </c>
    </row>
    <row r="4" customFormat="false" ht="15" hidden="false" customHeight="true" outlineLevel="0" collapsed="false">
      <c r="A4" s="5" t="s">
        <v>27</v>
      </c>
      <c r="B4" s="19" t="n">
        <f aca="false">'Múltiplos (preliminar)'!B4</f>
        <v>50</v>
      </c>
      <c r="C4" s="5" t="s">
        <v>38</v>
      </c>
    </row>
    <row r="5" customFormat="false" ht="15" hidden="false" customHeight="true" outlineLevel="0" collapsed="false">
      <c r="A5" s="7" t="s">
        <v>39</v>
      </c>
      <c r="B5" s="8" t="n">
        <v>0.14</v>
      </c>
      <c r="C5" s="7" t="s">
        <v>40</v>
      </c>
    </row>
    <row r="6" customFormat="false" ht="15" hidden="false" customHeight="true" outlineLevel="0" collapsed="false">
      <c r="A6" s="5" t="s">
        <v>41</v>
      </c>
      <c r="B6" s="6" t="n">
        <v>0.12</v>
      </c>
      <c r="C6" s="5" t="s">
        <v>7</v>
      </c>
    </row>
    <row r="7" customFormat="false" ht="15" hidden="false" customHeight="true" outlineLevel="0" collapsed="false">
      <c r="A7" s="7" t="s">
        <v>42</v>
      </c>
      <c r="B7" s="11" t="n">
        <f aca="false">'Costo de capital'!B10</f>
        <v>0.3</v>
      </c>
      <c r="C7" s="7"/>
    </row>
    <row r="8" customFormat="false" ht="15" hidden="false" customHeight="true" outlineLevel="0" collapsed="false">
      <c r="A8" s="5" t="s">
        <v>43</v>
      </c>
      <c r="B8" s="10" t="n">
        <f aca="false">'Costo de capital'!B14</f>
        <v>0.10975</v>
      </c>
      <c r="C8" s="5" t="s">
        <v>44</v>
      </c>
    </row>
    <row r="9" customFormat="false" ht="15" hidden="false" customHeight="true" outlineLevel="0" collapsed="false">
      <c r="A9" s="7" t="s">
        <v>45</v>
      </c>
      <c r="B9" s="8" t="n">
        <v>0.04</v>
      </c>
      <c r="C9" s="7" t="s">
        <v>46</v>
      </c>
    </row>
    <row r="10" customFormat="false" ht="15" hidden="false" customHeight="true" outlineLevel="0" collapsed="false">
      <c r="A10" s="5" t="s">
        <v>47</v>
      </c>
      <c r="B10" s="15" t="n">
        <v>15</v>
      </c>
      <c r="C10" s="5" t="s">
        <v>48</v>
      </c>
    </row>
    <row r="11" customFormat="false" ht="15" hidden="false" customHeight="true" outlineLevel="0" collapsed="false">
      <c r="A11" s="7" t="s">
        <v>49</v>
      </c>
      <c r="B11" s="16" t="n">
        <v>1</v>
      </c>
      <c r="C11" s="7" t="s">
        <v>50</v>
      </c>
    </row>
    <row r="14" customFormat="false" ht="15" hidden="false" customHeight="true" outlineLevel="0" collapsed="false">
      <c r="A14" s="3" t="s">
        <v>26</v>
      </c>
      <c r="B14" s="4" t="s">
        <v>51</v>
      </c>
      <c r="C14" s="4" t="s">
        <v>52</v>
      </c>
      <c r="D14" s="4" t="s">
        <v>53</v>
      </c>
      <c r="E14" s="4" t="s">
        <v>54</v>
      </c>
      <c r="F14" s="4" t="s">
        <v>55</v>
      </c>
      <c r="G14" s="4" t="s">
        <v>56</v>
      </c>
    </row>
    <row r="15" customFormat="false" ht="15" hidden="false" customHeight="true" outlineLevel="0" collapsed="false">
      <c r="A15" s="5" t="s">
        <v>57</v>
      </c>
      <c r="B15" s="10"/>
      <c r="C15" s="6" t="n">
        <v>0.12</v>
      </c>
      <c r="D15" s="6" t="n">
        <v>0.11</v>
      </c>
      <c r="E15" s="6" t="n">
        <v>0.1</v>
      </c>
      <c r="F15" s="6" t="n">
        <v>0.09</v>
      </c>
      <c r="G15" s="6" t="n">
        <v>0.08</v>
      </c>
    </row>
    <row r="16" customFormat="false" ht="15" hidden="false" customHeight="true" outlineLevel="0" collapsed="false">
      <c r="A16" s="7" t="s">
        <v>58</v>
      </c>
      <c r="B16" s="20" t="n">
        <f aca="false">B4</f>
        <v>50</v>
      </c>
      <c r="C16" s="20" t="n">
        <f aca="false">B16*(1+C15)</f>
        <v>56</v>
      </c>
      <c r="D16" s="20" t="n">
        <f aca="false">C16*(1+D15)</f>
        <v>62.16</v>
      </c>
      <c r="E16" s="20" t="n">
        <f aca="false">D16*(1+E15)</f>
        <v>68.376</v>
      </c>
      <c r="F16" s="20" t="n">
        <f aca="false">E16*(1+F15)</f>
        <v>74.52984</v>
      </c>
      <c r="G16" s="20" t="n">
        <f aca="false">F16*(1+G15)</f>
        <v>80.4922272</v>
      </c>
    </row>
    <row r="17" customFormat="false" ht="15" hidden="false" customHeight="true" outlineLevel="0" collapsed="false">
      <c r="A17" s="5" t="s">
        <v>59</v>
      </c>
      <c r="B17" s="19"/>
      <c r="C17" s="19" t="n">
        <f aca="false">C16*$B$5</f>
        <v>7.84</v>
      </c>
      <c r="D17" s="19" t="n">
        <f aca="false">D16*$B$5</f>
        <v>8.7024</v>
      </c>
      <c r="E17" s="19" t="n">
        <f aca="false">E16*$B$5</f>
        <v>9.57264</v>
      </c>
      <c r="F17" s="19" t="n">
        <f aca="false">F16*$B$5</f>
        <v>10.4341776</v>
      </c>
      <c r="G17" s="19" t="n">
        <f aca="false">G16*$B$5</f>
        <v>11.268911808</v>
      </c>
    </row>
    <row r="18" customFormat="false" ht="15" hidden="false" customHeight="true" outlineLevel="0" collapsed="false">
      <c r="A18" s="7" t="s">
        <v>60</v>
      </c>
      <c r="B18" s="20"/>
      <c r="C18" s="16" t="n">
        <v>1.5</v>
      </c>
      <c r="D18" s="16" t="n">
        <v>1.6</v>
      </c>
      <c r="E18" s="16" t="n">
        <v>1.7</v>
      </c>
      <c r="F18" s="16" t="n">
        <v>1.8</v>
      </c>
      <c r="G18" s="16" t="n">
        <v>1.9</v>
      </c>
    </row>
    <row r="19" customFormat="false" ht="15" hidden="false" customHeight="true" outlineLevel="0" collapsed="false">
      <c r="A19" s="5" t="s">
        <v>61</v>
      </c>
      <c r="B19" s="19"/>
      <c r="C19" s="19" t="n">
        <f aca="false">$B$11</f>
        <v>1</v>
      </c>
      <c r="D19" s="15" t="n">
        <v>0</v>
      </c>
      <c r="E19" s="15" t="n">
        <v>0</v>
      </c>
      <c r="F19" s="15" t="n">
        <v>0</v>
      </c>
      <c r="G19" s="15" t="n">
        <v>0</v>
      </c>
    </row>
    <row r="20" customFormat="false" ht="15" hidden="false" customHeight="true" outlineLevel="0" collapsed="false">
      <c r="A20" s="21" t="s">
        <v>62</v>
      </c>
      <c r="B20" s="22"/>
      <c r="C20" s="22" t="n">
        <f aca="false">C17-C18-C19</f>
        <v>5.34</v>
      </c>
      <c r="D20" s="22" t="n">
        <f aca="false">D17-D18-D19</f>
        <v>7.1024</v>
      </c>
      <c r="E20" s="22" t="n">
        <f aca="false">E17-E18-E19</f>
        <v>7.87264</v>
      </c>
      <c r="F20" s="22" t="n">
        <f aca="false">F17-F18-F19</f>
        <v>8.6341776</v>
      </c>
      <c r="G20" s="22" t="n">
        <f aca="false">G17-G18-G19</f>
        <v>9.36891180800001</v>
      </c>
    </row>
    <row r="21" customFormat="false" ht="15" hidden="false" customHeight="true" outlineLevel="0" collapsed="false">
      <c r="A21" s="5" t="s">
        <v>63</v>
      </c>
      <c r="B21" s="19"/>
      <c r="C21" s="19" t="n">
        <f aca="false">MAX(0,C20)*$B$7</f>
        <v>1.602</v>
      </c>
      <c r="D21" s="19" t="n">
        <f aca="false">MAX(0,D20)*$B$7</f>
        <v>2.13072</v>
      </c>
      <c r="E21" s="19" t="n">
        <f aca="false">MAX(0,E20)*$B$7</f>
        <v>2.361792</v>
      </c>
      <c r="F21" s="19" t="n">
        <f aca="false">MAX(0,F20)*$B$7</f>
        <v>2.59025328</v>
      </c>
      <c r="G21" s="19" t="n">
        <f aca="false">MAX(0,G20)*$B$7</f>
        <v>2.8106735424</v>
      </c>
    </row>
    <row r="22" customFormat="false" ht="15" hidden="false" customHeight="true" outlineLevel="0" collapsed="false">
      <c r="A22" s="21" t="s">
        <v>64</v>
      </c>
      <c r="B22" s="22"/>
      <c r="C22" s="22" t="n">
        <f aca="false">C20-C21</f>
        <v>3.738</v>
      </c>
      <c r="D22" s="22" t="n">
        <f aca="false">D20-D21</f>
        <v>4.97168</v>
      </c>
      <c r="E22" s="22" t="n">
        <f aca="false">E20-E21</f>
        <v>5.510848</v>
      </c>
      <c r="F22" s="22" t="n">
        <f aca="false">F20-F21</f>
        <v>6.04392432</v>
      </c>
      <c r="G22" s="22" t="n">
        <f aca="false">G20-G21</f>
        <v>6.5582382656</v>
      </c>
    </row>
    <row r="23" customFormat="false" ht="15" hidden="false" customHeight="true" outlineLevel="0" collapsed="false">
      <c r="A23" s="5" t="s">
        <v>65</v>
      </c>
      <c r="B23" s="19"/>
      <c r="C23" s="19" t="n">
        <f aca="false">C18</f>
        <v>1.5</v>
      </c>
      <c r="D23" s="19" t="n">
        <f aca="false">D18</f>
        <v>1.6</v>
      </c>
      <c r="E23" s="19" t="n">
        <f aca="false">E18</f>
        <v>1.7</v>
      </c>
      <c r="F23" s="19" t="n">
        <f aca="false">F18</f>
        <v>1.8</v>
      </c>
      <c r="G23" s="19" t="n">
        <f aca="false">G18</f>
        <v>1.9</v>
      </c>
    </row>
    <row r="24" customFormat="false" ht="15" hidden="false" customHeight="true" outlineLevel="0" collapsed="false">
      <c r="A24" s="7" t="s">
        <v>66</v>
      </c>
      <c r="B24" s="20"/>
      <c r="C24" s="16" t="n">
        <v>2</v>
      </c>
      <c r="D24" s="16" t="n">
        <v>2.1</v>
      </c>
      <c r="E24" s="16" t="n">
        <v>2.2</v>
      </c>
      <c r="F24" s="16" t="n">
        <v>2.3</v>
      </c>
      <c r="G24" s="16" t="n">
        <v>2.3</v>
      </c>
    </row>
    <row r="25" customFormat="false" ht="15" hidden="false" customHeight="true" outlineLevel="0" collapsed="false">
      <c r="A25" s="5" t="s">
        <v>67</v>
      </c>
      <c r="B25" s="19" t="n">
        <f aca="false">B16*$B$6</f>
        <v>6</v>
      </c>
      <c r="C25" s="19" t="n">
        <f aca="false">C16*$B$6</f>
        <v>6.72</v>
      </c>
      <c r="D25" s="19" t="n">
        <f aca="false">D16*$B$6</f>
        <v>7.4592</v>
      </c>
      <c r="E25" s="19" t="n">
        <f aca="false">E16*$B$6</f>
        <v>8.20512</v>
      </c>
      <c r="F25" s="19" t="n">
        <f aca="false">F16*$B$6</f>
        <v>8.9435808</v>
      </c>
      <c r="G25" s="19" t="n">
        <f aca="false">G16*$B$6</f>
        <v>9.659067264</v>
      </c>
    </row>
    <row r="26" customFormat="false" ht="15" hidden="false" customHeight="true" outlineLevel="0" collapsed="false">
      <c r="A26" s="7" t="s">
        <v>68</v>
      </c>
      <c r="B26" s="20"/>
      <c r="C26" s="20" t="n">
        <f aca="false">C25-B25</f>
        <v>0.720000000000001</v>
      </c>
      <c r="D26" s="20" t="n">
        <f aca="false">D25-C25</f>
        <v>0.7392</v>
      </c>
      <c r="E26" s="20" t="n">
        <f aca="false">E25-D25</f>
        <v>0.745920000000002</v>
      </c>
      <c r="F26" s="20" t="n">
        <f aca="false">F25-E25</f>
        <v>0.7384608</v>
      </c>
      <c r="G26" s="20" t="n">
        <f aca="false">G25-F25</f>
        <v>0.715486464</v>
      </c>
    </row>
    <row r="27" customFormat="false" ht="15" hidden="false" customHeight="true" outlineLevel="0" collapsed="false">
      <c r="A27" s="12" t="s">
        <v>69</v>
      </c>
      <c r="B27" s="18"/>
      <c r="C27" s="18" t="n">
        <f aca="false">C22+C23-C24-C26</f>
        <v>2.518</v>
      </c>
      <c r="D27" s="18" t="n">
        <f aca="false">D22+D23-D24-D26</f>
        <v>3.73248</v>
      </c>
      <c r="E27" s="18" t="n">
        <f aca="false">E22+E23-E24-E26</f>
        <v>4.264928</v>
      </c>
      <c r="F27" s="18" t="n">
        <f aca="false">F22+F23-F24-F26</f>
        <v>4.80546352</v>
      </c>
      <c r="G27" s="18" t="n">
        <f aca="false">G22+G23-G24-G26</f>
        <v>5.4427518016</v>
      </c>
      <c r="H27" s="23" t="s">
        <v>70</v>
      </c>
    </row>
    <row r="29" customFormat="false" ht="15" hidden="false" customHeight="true" outlineLevel="0" collapsed="false">
      <c r="A29" s="12" t="s">
        <v>71</v>
      </c>
      <c r="G29" s="18" t="n">
        <f aca="false">G27*(1+B9)/(B8-B9)</f>
        <v>81.1535752496632</v>
      </c>
      <c r="H29" s="1" t="s">
        <v>70</v>
      </c>
    </row>
    <row r="30" customFormat="false" ht="15" hidden="false" customHeight="true" outlineLevel="0" collapsed="false">
      <c r="A30" s="5" t="s">
        <v>72</v>
      </c>
      <c r="C30" s="24" t="n">
        <f aca="false">1/(1+$B$8)^1</f>
        <v>0.901103852218968</v>
      </c>
      <c r="D30" s="24" t="n">
        <f aca="false">1/(1+$B$8)^2</f>
        <v>0.811988152483864</v>
      </c>
      <c r="E30" s="24" t="n">
        <f aca="false">1/(1+$B$8)^3</f>
        <v>0.731685652159373</v>
      </c>
      <c r="F30" s="24" t="n">
        <f aca="false">1/(1+$B$8)^4</f>
        <v>0.659324759774159</v>
      </c>
      <c r="G30" s="24" t="n">
        <f aca="false">1/(1+$B$8)^5</f>
        <v>0.594120080895841</v>
      </c>
    </row>
    <row r="31" customFormat="false" ht="15" hidden="false" customHeight="true" outlineLevel="0" collapsed="false">
      <c r="A31" s="5" t="s">
        <v>73</v>
      </c>
      <c r="C31" s="19" t="n">
        <f aca="false">(C27)*C30</f>
        <v>2.26897949988736</v>
      </c>
      <c r="D31" s="19" t="n">
        <f aca="false">(D27)*D30</f>
        <v>3.03072953938298</v>
      </c>
      <c r="E31" s="19" t="n">
        <f aca="false">(E27)*E30</f>
        <v>3.12058662509277</v>
      </c>
      <c r="F31" s="19" t="n">
        <f aca="false">(F27)*F30</f>
        <v>3.16836108092749</v>
      </c>
      <c r="G31" s="19" t="n">
        <f aca="false">(G27+G29)*G30</f>
        <v>51.4486168329791</v>
      </c>
    </row>
    <row r="33" customFormat="false" ht="15" hidden="false" customHeight="true" outlineLevel="0" collapsed="false">
      <c r="A33" s="25" t="s">
        <v>74</v>
      </c>
      <c r="B33" s="26" t="n">
        <f aca="false">SUM(C31:G31)</f>
        <v>63.0372735782697</v>
      </c>
    </row>
    <row r="34" customFormat="false" ht="15" hidden="false" customHeight="true" outlineLevel="0" collapsed="false">
      <c r="A34" s="5" t="s">
        <v>75</v>
      </c>
      <c r="B34" s="19" t="n">
        <f aca="false">B10</f>
        <v>15</v>
      </c>
    </row>
    <row r="35" customFormat="false" ht="15" hidden="false" customHeight="true" outlineLevel="0" collapsed="false">
      <c r="A35" s="12" t="s">
        <v>76</v>
      </c>
      <c r="B35" s="18" t="n">
        <f aca="false">B33-B34</f>
        <v>48.0372735782697</v>
      </c>
    </row>
    <row r="36" customFormat="false" ht="15" hidden="false" customHeight="true" outlineLevel="0" collapsed="false">
      <c r="A36" s="5" t="s">
        <v>77</v>
      </c>
      <c r="B36" s="27" t="n">
        <f aca="false">B33/(B4*B5)</f>
        <v>9.00532479689567</v>
      </c>
    </row>
    <row r="38" customFormat="false" ht="15" hidden="false" customHeight="true" outlineLevel="0" collapsed="false">
      <c r="A38" s="14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8"/>
    <col collapsed="false" customWidth="true" hidden="false" outlineLevel="0" max="4" min="3" style="1" width="11"/>
    <col collapsed="false" customWidth="true" hidden="false" outlineLevel="0" max="5" min="5" style="1" width="40"/>
  </cols>
  <sheetData>
    <row r="1" customFormat="false" ht="15.75" hidden="false" customHeight="true" outlineLevel="0" collapsed="false">
      <c r="A1" s="2" t="s">
        <v>79</v>
      </c>
    </row>
    <row r="3" customFormat="false" ht="15" hidden="false" customHeight="true" outlineLevel="0" collapsed="false">
      <c r="A3" s="3" t="s">
        <v>80</v>
      </c>
      <c r="B3" s="3" t="s">
        <v>26</v>
      </c>
      <c r="C3" s="4" t="s">
        <v>81</v>
      </c>
      <c r="D3" s="4" t="s">
        <v>82</v>
      </c>
      <c r="E3" s="3" t="s">
        <v>83</v>
      </c>
    </row>
    <row r="4" customFormat="false" ht="15" hidden="false" customHeight="true" outlineLevel="0" collapsed="false">
      <c r="A4" s="5" t="s">
        <v>84</v>
      </c>
      <c r="B4" s="28" t="s">
        <v>85</v>
      </c>
      <c r="C4" s="19"/>
      <c r="D4" s="19" t="n">
        <f aca="false">'Múltiplos (preliminar)'!B8</f>
        <v>60</v>
      </c>
      <c r="E4" s="5" t="s">
        <v>86</v>
      </c>
    </row>
    <row r="5" customFormat="false" ht="15" hidden="false" customHeight="true" outlineLevel="0" collapsed="false">
      <c r="A5" s="7" t="s">
        <v>87</v>
      </c>
      <c r="B5" s="29" t="s">
        <v>88</v>
      </c>
      <c r="C5" s="20" t="n">
        <f aca="false">'Flujo de caja libre (DCF)'!B33-D4</f>
        <v>3.03727357826972</v>
      </c>
      <c r="D5" s="20"/>
      <c r="E5" s="7" t="s">
        <v>89</v>
      </c>
    </row>
    <row r="6" customFormat="false" ht="15" hidden="false" customHeight="true" outlineLevel="0" collapsed="false">
      <c r="A6" s="5"/>
      <c r="B6" s="28" t="s">
        <v>90</v>
      </c>
      <c r="C6" s="19"/>
      <c r="D6" s="19" t="n">
        <f aca="false">'Flujo de caja libre (DCF)'!B33</f>
        <v>63.0372735782697</v>
      </c>
      <c r="E6" s="5" t="s">
        <v>91</v>
      </c>
    </row>
    <row r="7" customFormat="false" ht="15" hidden="false" customHeight="true" outlineLevel="0" collapsed="false">
      <c r="A7" s="7"/>
      <c r="B7" s="29" t="s">
        <v>75</v>
      </c>
      <c r="C7" s="20" t="n">
        <f aca="false">-'Flujo de caja libre (DCF)'!B34</f>
        <v>-15</v>
      </c>
      <c r="D7" s="20"/>
      <c r="E7" s="7" t="s">
        <v>92</v>
      </c>
    </row>
    <row r="8" customFormat="false" ht="15" hidden="false" customHeight="true" outlineLevel="0" collapsed="false">
      <c r="A8" s="12"/>
      <c r="B8" s="30" t="s">
        <v>93</v>
      </c>
      <c r="C8" s="18"/>
      <c r="D8" s="18" t="n">
        <f aca="false">D6+C7</f>
        <v>48.0372735782697</v>
      </c>
      <c r="E8" s="12" t="s">
        <v>94</v>
      </c>
    </row>
    <row r="9" customFormat="false" ht="27.75" hidden="false" customHeight="true" outlineLevel="0" collapsed="false">
      <c r="A9" s="7" t="s">
        <v>95</v>
      </c>
      <c r="B9" s="29" t="s">
        <v>96</v>
      </c>
      <c r="C9" s="16" t="n">
        <v>-3</v>
      </c>
      <c r="D9" s="20"/>
      <c r="E9" s="7" t="s">
        <v>97</v>
      </c>
    </row>
    <row r="10" customFormat="false" ht="15" hidden="false" customHeight="true" outlineLevel="0" collapsed="false">
      <c r="A10" s="12"/>
      <c r="B10" s="30" t="s">
        <v>98</v>
      </c>
      <c r="C10" s="18"/>
      <c r="D10" s="18" t="n">
        <f aca="false">D8+C9</f>
        <v>45.0372735782697</v>
      </c>
      <c r="E10" s="12"/>
    </row>
    <row r="12" customFormat="false" ht="15" hidden="false" customHeight="true" outlineLevel="0" collapsed="false">
      <c r="A12" s="25" t="s">
        <v>99</v>
      </c>
      <c r="D12" s="26" t="n">
        <f aca="false">D10-D4</f>
        <v>-14.9627264217303</v>
      </c>
      <c r="E12" s="10" t="n">
        <f aca="false">D12/D4</f>
        <v>-0.249378773695505</v>
      </c>
    </row>
    <row r="13" customFormat="false" ht="15" hidden="false" customHeight="true" outlineLevel="0" collapsed="false">
      <c r="A13" s="5" t="s">
        <v>100</v>
      </c>
      <c r="D13" s="19" t="n">
        <f aca="false">'Flujo de caja libre (DCF)'!B25</f>
        <v>6</v>
      </c>
    </row>
    <row r="14" customFormat="false" ht="15" hidden="false" customHeight="true" outlineLevel="0" collapsed="false">
      <c r="A14" s="5" t="s">
        <v>101</v>
      </c>
      <c r="D14" s="19" t="n">
        <f aca="false">D13*0.05</f>
        <v>0.3</v>
      </c>
    </row>
    <row r="16" customFormat="false" ht="15" hidden="false" customHeight="true" outlineLevel="0" collapsed="false">
      <c r="A16" s="14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3.52"/>
    <col collapsed="false" customWidth="true" hidden="false" outlineLevel="0" max="3" min="2" style="1" width="16"/>
    <col collapsed="false" customWidth="true" hidden="false" outlineLevel="0" max="6" min="4" style="1" width="22"/>
  </cols>
  <sheetData>
    <row r="1" customFormat="false" ht="15.75" hidden="false" customHeight="true" outlineLevel="0" collapsed="false">
      <c r="A1" s="2" t="s">
        <v>103</v>
      </c>
    </row>
    <row r="3" customFormat="false" ht="15" hidden="false" customHeight="true" outlineLevel="0" collapsed="false">
      <c r="A3" s="3" t="s">
        <v>7</v>
      </c>
      <c r="B3" s="4" t="s">
        <v>2</v>
      </c>
      <c r="C3" s="3" t="s">
        <v>3</v>
      </c>
    </row>
    <row r="4" customFormat="false" ht="15" hidden="false" customHeight="true" outlineLevel="0" collapsed="false">
      <c r="A4" s="5" t="s">
        <v>104</v>
      </c>
      <c r="B4" s="15" t="n">
        <v>1</v>
      </c>
      <c r="C4" s="5" t="s">
        <v>105</v>
      </c>
    </row>
    <row r="5" customFormat="false" ht="15" hidden="false" customHeight="true" outlineLevel="0" collapsed="false">
      <c r="A5" s="7" t="s">
        <v>106</v>
      </c>
      <c r="B5" s="16" t="n">
        <v>5</v>
      </c>
      <c r="C5" s="7" t="s">
        <v>107</v>
      </c>
    </row>
    <row r="6" customFormat="false" ht="15" hidden="false" customHeight="true" outlineLevel="0" collapsed="false">
      <c r="A6" s="5" t="s">
        <v>108</v>
      </c>
      <c r="B6" s="10" t="n">
        <f aca="false">'Flujo de caja libre (DCF)'!B5</f>
        <v>0.14</v>
      </c>
      <c r="C6" s="5"/>
    </row>
    <row r="7" customFormat="false" ht="15" hidden="false" customHeight="true" outlineLevel="0" collapsed="false">
      <c r="A7" s="7" t="s">
        <v>109</v>
      </c>
      <c r="B7" s="16" t="n">
        <v>20</v>
      </c>
      <c r="C7" s="7" t="s">
        <v>110</v>
      </c>
    </row>
    <row r="10" customFormat="false" ht="15" hidden="false" customHeight="true" outlineLevel="0" collapsed="false">
      <c r="A10" s="3" t="s">
        <v>26</v>
      </c>
      <c r="B10" s="4" t="s">
        <v>52</v>
      </c>
      <c r="C10" s="4" t="s">
        <v>53</v>
      </c>
      <c r="D10" s="4" t="s">
        <v>54</v>
      </c>
      <c r="E10" s="4" t="s">
        <v>55</v>
      </c>
      <c r="F10" s="4" t="s">
        <v>56</v>
      </c>
    </row>
    <row r="11" customFormat="false" ht="15" hidden="false" customHeight="true" outlineLevel="0" collapsed="false">
      <c r="A11" s="5" t="s">
        <v>111</v>
      </c>
      <c r="B11" s="31" t="n">
        <v>0.3</v>
      </c>
      <c r="C11" s="31" t="n">
        <v>0.7</v>
      </c>
      <c r="D11" s="31" t="n">
        <v>1</v>
      </c>
      <c r="E11" s="31" t="n">
        <v>1</v>
      </c>
      <c r="F11" s="31" t="n">
        <v>1</v>
      </c>
    </row>
    <row r="12" customFormat="false" ht="15" hidden="false" customHeight="true" outlineLevel="0" collapsed="false">
      <c r="A12" s="7" t="s">
        <v>112</v>
      </c>
      <c r="B12" s="20" t="n">
        <f aca="false">($B$4+$B$5*$B$6)*B11*(1+'Flujo de caja libre (DCF)'!$B$9)^0</f>
        <v>0.51</v>
      </c>
      <c r="C12" s="20" t="n">
        <f aca="false">($B$4+$B$5*$B$6)*C11*(1+'Flujo de caja libre (DCF)'!$B$9)^1</f>
        <v>1.2376</v>
      </c>
      <c r="D12" s="20" t="n">
        <f aca="false">($B$4+$B$5*$B$6)*D11*(1+'Flujo de caja libre (DCF)'!$B$9)^2</f>
        <v>1.83872</v>
      </c>
      <c r="E12" s="20" t="n">
        <f aca="false">($B$4+$B$5*$B$6)*E11*(1+'Flujo de caja libre (DCF)'!$B$9)^3</f>
        <v>1.9122688</v>
      </c>
      <c r="F12" s="20" t="n">
        <f aca="false">($B$4+$B$5*$B$6)*F11*(1+'Flujo de caja libre (DCF)'!$B$9)^4</f>
        <v>1.988759552</v>
      </c>
    </row>
    <row r="13" customFormat="false" ht="15" hidden="false" customHeight="true" outlineLevel="0" collapsed="false">
      <c r="A13" s="5" t="s">
        <v>113</v>
      </c>
      <c r="B13" s="19" t="n">
        <f aca="false">B12*(1-'Flujo de caja libre (DCF)'!$B$7)</f>
        <v>0.357</v>
      </c>
      <c r="C13" s="19" t="n">
        <f aca="false">C12*(1-'Flujo de caja libre (DCF)'!$B$7)</f>
        <v>0.86632</v>
      </c>
      <c r="D13" s="19" t="n">
        <f aca="false">D12*(1-'Flujo de caja libre (DCF)'!$B$7)</f>
        <v>1.287104</v>
      </c>
      <c r="E13" s="19" t="n">
        <f aca="false">E12*(1-'Flujo de caja libre (DCF)'!$B$7)</f>
        <v>1.33858816</v>
      </c>
      <c r="F13" s="19" t="n">
        <f aca="false">F12*(1-'Flujo de caja libre (DCF)'!$B$7)</f>
        <v>1.3921316864</v>
      </c>
    </row>
    <row r="14" customFormat="false" ht="15" hidden="false" customHeight="true" outlineLevel="0" collapsed="false">
      <c r="A14" s="7" t="s">
        <v>114</v>
      </c>
      <c r="B14" s="20" t="n">
        <f aca="false">(B13)/(1+'Flujo de caja libre (DCF)'!$B$8)^1</f>
        <v>0.321694075242172</v>
      </c>
      <c r="C14" s="20" t="n">
        <f aca="false">(C13)/(1+'Flujo de caja libre (DCF)'!$B$8)^2</f>
        <v>0.703441576259821</v>
      </c>
      <c r="D14" s="20" t="n">
        <f aca="false">(D13)/(1+'Flujo de caja libre (DCF)'!$B$8)^3</f>
        <v>0.941755529636938</v>
      </c>
      <c r="E14" s="20" t="n">
        <f aca="false">(E13)/(1+'Flujo de caja libre (DCF)'!$B$8)^4</f>
        <v>0.882564317028534</v>
      </c>
      <c r="F14" s="20" t="n">
        <f aca="false">(F13+F13*(1+'Flujo de caja libre (DCF)'!$B$9)/('Flujo de caja libre (DCF)'!$B$8-'Flujo de caja libre (DCF)'!$B$9))/(1+'Flujo de caja libre (DCF)'!$B$8)^5</f>
        <v>13.1593819313215</v>
      </c>
    </row>
    <row r="16" customFormat="false" ht="15" hidden="false" customHeight="true" outlineLevel="0" collapsed="false">
      <c r="A16" s="12" t="s">
        <v>115</v>
      </c>
      <c r="B16" s="18" t="n">
        <f aca="false">SUM(B14:F14)</f>
        <v>16.008837429489</v>
      </c>
    </row>
    <row r="18" customFormat="false" ht="27.75" hidden="false" customHeight="true" outlineLevel="0" collapsed="false">
      <c r="A18" s="3" t="s">
        <v>116</v>
      </c>
      <c r="B18" s="4" t="s">
        <v>117</v>
      </c>
      <c r="C18" s="4" t="s">
        <v>118</v>
      </c>
      <c r="D18" s="4" t="s">
        <v>119</v>
      </c>
    </row>
    <row r="19" customFormat="false" ht="15" hidden="false" customHeight="true" outlineLevel="0" collapsed="false">
      <c r="A19" s="5" t="s">
        <v>120</v>
      </c>
      <c r="B19" s="19" t="n">
        <f aca="false">'Flujo de caja libre (DCF)'!B35</f>
        <v>48.0372735782697</v>
      </c>
      <c r="C19" s="19" t="n">
        <f aca="false">'Flujo de caja libre (DCF)'!B35</f>
        <v>48.0372735782697</v>
      </c>
      <c r="D19" s="19" t="n">
        <f aca="false">'Flujo de caja libre (DCF)'!B35</f>
        <v>48.0372735782697</v>
      </c>
    </row>
    <row r="20" customFormat="false" ht="15" hidden="false" customHeight="true" outlineLevel="0" collapsed="false">
      <c r="A20" s="5" t="s">
        <v>121</v>
      </c>
      <c r="B20" s="19" t="n">
        <f aca="false">B16</f>
        <v>16.008837429489</v>
      </c>
      <c r="C20" s="19" t="n">
        <f aca="false">B16</f>
        <v>16.008837429489</v>
      </c>
      <c r="D20" s="19" t="n">
        <f aca="false">B16</f>
        <v>16.008837429489</v>
      </c>
    </row>
    <row r="21" customFormat="false" ht="15" hidden="false" customHeight="true" outlineLevel="0" collapsed="false">
      <c r="A21" s="5" t="s">
        <v>122</v>
      </c>
      <c r="B21" s="19" t="n">
        <f aca="false">'Precio en 3 momentos'!D8</f>
        <v>48.0372735782697</v>
      </c>
      <c r="C21" s="19" t="n">
        <f aca="false">'Precio en 3 momentos'!D10</f>
        <v>45.0372735782697</v>
      </c>
      <c r="D21" s="19" t="n">
        <f aca="false">B21*(1+B26)</f>
        <v>62.4484556517506</v>
      </c>
    </row>
    <row r="22" customFormat="false" ht="15" hidden="false" customHeight="true" outlineLevel="0" collapsed="false">
      <c r="A22" s="12" t="s">
        <v>123</v>
      </c>
      <c r="B22" s="18" t="n">
        <f aca="false">B19+B20-B21</f>
        <v>16.008837429489</v>
      </c>
      <c r="C22" s="18" t="n">
        <f aca="false">C19+C20-C21</f>
        <v>19.008837429489</v>
      </c>
      <c r="D22" s="18" t="n">
        <f aca="false">D19+D20-D21</f>
        <v>1.59765535600806</v>
      </c>
    </row>
    <row r="24" customFormat="false" ht="15" hidden="false" customHeight="true" outlineLevel="0" collapsed="false">
      <c r="A24" s="14"/>
    </row>
    <row r="25" customFormat="false" ht="15" hidden="false" customHeight="true" outlineLevel="0" collapsed="false">
      <c r="A25" s="3" t="s">
        <v>124</v>
      </c>
      <c r="B25" s="4" t="s">
        <v>2</v>
      </c>
      <c r="C25" s="3" t="s">
        <v>3</v>
      </c>
    </row>
    <row r="26" customFormat="false" ht="15" hidden="false" customHeight="true" outlineLevel="0" collapsed="false">
      <c r="A26" s="5" t="s">
        <v>125</v>
      </c>
      <c r="B26" s="32" t="n">
        <v>0.3</v>
      </c>
      <c r="C26" s="33" t="s">
        <v>126</v>
      </c>
    </row>
    <row r="27" customFormat="false" ht="15" hidden="false" customHeight="true" outlineLevel="0" collapsed="false">
      <c r="A27" s="5" t="s">
        <v>127</v>
      </c>
      <c r="B27" s="32" t="n">
        <v>0.25</v>
      </c>
      <c r="C27" s="33" t="s">
        <v>128</v>
      </c>
    </row>
    <row r="28" customFormat="false" ht="15" hidden="false" customHeight="true" outlineLevel="0" collapsed="false">
      <c r="A28" s="12" t="s">
        <v>129</v>
      </c>
      <c r="B28" s="18" t="n">
        <f aca="false">'Flujo de caja libre (DCF)'!B35+B16*B27</f>
        <v>52.039482935642</v>
      </c>
      <c r="C28" s="34" t="s">
        <v>130</v>
      </c>
    </row>
    <row r="30" customFormat="false" ht="15" hidden="false" customHeight="true" outlineLevel="0" collapsed="false">
      <c r="A30" s="14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2026-10-17T23:31:30Z</dcterms:created>
  <dc:creator>openpyxl</dc:creator>
  <dc:description/>
  <dc:language>en-US</dc:language>
  <cp:lastModifiedBy>Luis Ricardo Rivera Goitia</cp:lastModifiedBy>
  <dcterms:modified xsi:type="dcterms:W3CDTF">2026-10-18T02:30:29Z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